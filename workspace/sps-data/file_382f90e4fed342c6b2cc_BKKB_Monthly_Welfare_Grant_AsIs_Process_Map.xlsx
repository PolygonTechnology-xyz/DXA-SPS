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-Is Process Map" sheetId="1" state="visible" r:id="rId3"/>
    <sheet name="Summary" sheetId="2" state="visible" r:id="rId4"/>
    <sheet name="Issues &amp; Gaps" sheetId="3" state="visible" r:id="rId5"/>
    <sheet name="Assumptions &amp; Legend" sheetId="4" state="visible" r:id="rId6"/>
  </sheets>
  <definedNames>
    <definedName function="false" hidden="true" localSheetId="0" name="_xlnm._FilterDatabase" vbProcedure="false">'As-Is Process Map'!$A$4:$U$46</definedName>
    <definedName function="false" hidden="true" localSheetId="2" name="_xlnm._FilterDatabase" vbProcedure="false">'Issues &amp; Gaps'!$A$3:$F$15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<sst xmlns="http://schemas.openxmlformats.org/spreadsheetml/2006/main" count="846" uniqueCount="507">
  <si>
    <t xml:space="preserve">BKKB Monthly Welfare Grant: As-Is Service Process Map</t>
  </si>
  <si>
    <t xml:space="preserve">Built from BKKB_Monthly_Welfare_Grant_AsIs.bpmn. Orange rows are inferred, not steps in the source map. Red rows are the defect exception path. Blue rows recur monthly.</t>
  </si>
  <si>
    <t xml:space="preserve">Seq</t>
  </si>
  <si>
    <t xml:space="preserve">Step ID</t>
  </si>
  <si>
    <t xml:space="preserve">Source reference</t>
  </si>
  <si>
    <t xml:space="preserve">Phase</t>
  </si>
  <si>
    <t xml:space="preserve">Organisation</t>
  </si>
  <si>
    <t xml:space="preserve">Performer</t>
  </si>
  <si>
    <t xml:space="preserve">Activity</t>
  </si>
  <si>
    <t xml:space="preserve">Input</t>
  </si>
  <si>
    <t xml:space="preserve">Output</t>
  </si>
  <si>
    <t xml:space="preserve">Next step / hand-off</t>
  </si>
  <si>
    <t xml:space="preserve">Channel / medium</t>
  </si>
  <si>
    <t xml:space="preserve">Stated time (source)</t>
  </si>
  <si>
    <t xml:space="preserve">Min (h)</t>
  </si>
  <si>
    <t xml:space="preserve">Max (h)</t>
  </si>
  <si>
    <t xml:space="preserve">Min (working days)</t>
  </si>
  <si>
    <t xml:space="preserve">Max (working days)</t>
  </si>
  <si>
    <t xml:space="preserve">Citizen visits (in person)</t>
  </si>
  <si>
    <t xml:space="preserve">Cost to citizen (BDT)</t>
  </si>
  <si>
    <t xml:space="preserve">Activity type</t>
  </si>
  <si>
    <t xml:space="preserve">Basis</t>
  </si>
  <si>
    <t xml:space="preserve">Observations</t>
  </si>
  <si>
    <t xml:space="preserve">A1</t>
  </si>
  <si>
    <t xml:space="preserve">Table step 1 (map 1)</t>
  </si>
  <si>
    <t xml:space="preserve">P0. Application and attestation</t>
  </si>
  <si>
    <t xml:space="preserve">Legal heir / applicant</t>
  </si>
  <si>
    <t xml:space="preserve">Applicant</t>
  </si>
  <si>
    <t xml:space="preserve">Register on portal, fill in and print online application</t>
  </si>
  <si>
    <t xml:space="preserve">Death or disability of employee; decision to claim</t>
  </si>
  <si>
    <t xml:space="preserve">Printed application form</t>
  </si>
  <si>
    <t xml:space="preserve">E0 (employer attestation)</t>
  </si>
  <si>
    <t xml:space="preserve">Online (sss.bkkb.gov.bd)</t>
  </si>
  <si>
    <t xml:space="preserve">Not stated</t>
  </si>
  <si>
    <t xml:space="preserve">Citizen action</t>
  </si>
  <si>
    <t xml:space="preserve">Source</t>
  </si>
  <si>
    <t xml:space="preserve">Applicant may be the employee in disability cases, not an heir.</t>
  </si>
  <si>
    <t xml:space="preserve">E0</t>
  </si>
  <si>
    <t xml:space="preserve">Document list items 1 to 9 and 11</t>
  </si>
  <si>
    <t xml:space="preserve">Employer's office</t>
  </si>
  <si>
    <t xml:space="preserve">Employer office</t>
  </si>
  <si>
    <t xml:space="preserve">Attest document copies, countersign UP certificates, sign and seal application form</t>
  </si>
  <si>
    <t xml:space="preserve">Printed form; 11 supporting documents</t>
  </si>
  <si>
    <t xml:space="preserve">Attested documents; signed and sealed form</t>
  </si>
  <si>
    <t xml:space="preserve">A2 (applicant)</t>
  </si>
  <si>
    <t xml:space="preserve">In person; paper</t>
  </si>
  <si>
    <t xml:space="preserve">Verification (attestation)</t>
  </si>
  <si>
    <t xml:space="preserve">Inferred</t>
  </si>
  <si>
    <t xml:space="preserve">10 of 11 documents need office attestation or countersignature. At least one in-person visit by the applicant.</t>
  </si>
  <si>
    <t xml:space="preserve">A2</t>
  </si>
  <si>
    <t xml:space="preserve">Table step 2 (map 1)</t>
  </si>
  <si>
    <t xml:space="preserve">Upload signed form and scanned documents; final submit</t>
  </si>
  <si>
    <t xml:space="preserve">Attested documents; signed form</t>
  </si>
  <si>
    <t xml:space="preserve">Online submission</t>
  </si>
  <si>
    <t xml:space="preserve">E1 (employer forwards hard copy)</t>
  </si>
  <si>
    <t xml:space="preserve">Online</t>
  </si>
  <si>
    <t xml:space="preserve">No flow from the portal into the BKKB back office is shown. BKKB processing starts from the hard copy (E1).</t>
  </si>
  <si>
    <t xml:space="preserve">E1</t>
  </si>
  <si>
    <t xml:space="preserve">Table step 3 (map 2)</t>
  </si>
  <si>
    <t xml:space="preserve">Forward hard copy application with documents to BKKB</t>
  </si>
  <si>
    <t xml:space="preserve">Attested hard copy file</t>
  </si>
  <si>
    <t xml:space="preserve">Hard copy file received at BKKB</t>
  </si>
  <si>
    <t xml:space="preserve">S4 (BKKB helpdesk)</t>
  </si>
  <si>
    <t xml:space="preserve">By hand or post</t>
  </si>
  <si>
    <t xml:space="preserve">Despatch</t>
  </si>
  <si>
    <t xml:space="preserve">Duplicates the online submission. Postal or courier transit time not stated.</t>
  </si>
  <si>
    <t xml:space="preserve">S4</t>
  </si>
  <si>
    <t xml:space="preserve">Table step 4</t>
  </si>
  <si>
    <t xml:space="preserve">A. Intake and downward marking</t>
  </si>
  <si>
    <t xml:space="preserve">BKKB Head Office</t>
  </si>
  <si>
    <t xml:space="preserve">Helpdesk (information provider)</t>
  </si>
  <si>
    <t xml:space="preserve">Receive hard copy application</t>
  </si>
  <si>
    <t xml:space="preserve">Hard copy application</t>
  </si>
  <si>
    <t xml:space="preserve">Application received</t>
  </si>
  <si>
    <t xml:space="preserve">S5 (DG)</t>
  </si>
  <si>
    <t xml:space="preserve">Paper</t>
  </si>
  <si>
    <t xml:space="preserve">Immediate</t>
  </si>
  <si>
    <t xml:space="preserve">Receipt and routing</t>
  </si>
  <si>
    <t xml:space="preserve">S5</t>
  </si>
  <si>
    <t xml:space="preserve">Table step 5</t>
  </si>
  <si>
    <t xml:space="preserve">Director General</t>
  </si>
  <si>
    <t xml:space="preserve">Mark application</t>
  </si>
  <si>
    <t xml:space="preserve">Received application</t>
  </si>
  <si>
    <t xml:space="preserve">Marked application</t>
  </si>
  <si>
    <t xml:space="preserve">S6 (PA to DG)</t>
  </si>
  <si>
    <t xml:space="preserve">Paper file</t>
  </si>
  <si>
    <t xml:space="preserve">2-3 h</t>
  </si>
  <si>
    <t xml:space="preserve">Marking / routing</t>
  </si>
  <si>
    <t xml:space="preserve">No decision taken. First of five marking steps before the section opens a file.</t>
  </si>
  <si>
    <t xml:space="preserve">S6</t>
  </si>
  <si>
    <t xml:space="preserve">Table step 6</t>
  </si>
  <si>
    <t xml:space="preserve">PA to DG</t>
  </si>
  <si>
    <t xml:space="preserve">Enter in register; route onward</t>
  </si>
  <si>
    <t xml:space="preserve">Register entry; application routed</t>
  </si>
  <si>
    <t xml:space="preserve">S7 (Director, Admin)</t>
  </si>
  <si>
    <t xml:space="preserve">Paper register</t>
  </si>
  <si>
    <t xml:space="preserve">0.5-1 h</t>
  </si>
  <si>
    <t xml:space="preserve">Record-keeping</t>
  </si>
  <si>
    <t xml:space="preserve">Step label says route to Additional DG, but the next step is Director (Admin). Confirm with BKKB.</t>
  </si>
  <si>
    <t xml:space="preserve">S7</t>
  </si>
  <si>
    <t xml:space="preserve">Table step 7</t>
  </si>
  <si>
    <t xml:space="preserve">Director (Admin)</t>
  </si>
  <si>
    <t xml:space="preserve">Routed application</t>
  </si>
  <si>
    <t xml:space="preserve">S8 (DD, Admin)</t>
  </si>
  <si>
    <t xml:space="preserve">3-4 h</t>
  </si>
  <si>
    <t xml:space="preserve">S8</t>
  </si>
  <si>
    <t xml:space="preserve">Table step 8</t>
  </si>
  <si>
    <t xml:space="preserve">Deputy Director (Admin)</t>
  </si>
  <si>
    <t xml:space="preserve">S9 (AD, Welfare)</t>
  </si>
  <si>
    <t xml:space="preserve">S9</t>
  </si>
  <si>
    <t xml:space="preserve">Table step 9</t>
  </si>
  <si>
    <t xml:space="preserve">Assistant Director (Welfare)</t>
  </si>
  <si>
    <t xml:space="preserve">Mark application; send to section</t>
  </si>
  <si>
    <t xml:space="preserve">Application in Welfare section</t>
  </si>
  <si>
    <t xml:space="preserve">S10 (UDA)</t>
  </si>
  <si>
    <t xml:space="preserve">S10</t>
  </si>
  <si>
    <t xml:space="preserve">Table step 10</t>
  </si>
  <si>
    <t xml:space="preserve">B. Section processing and document check</t>
  </si>
  <si>
    <t xml:space="preserve">Office Assistant / UDA</t>
  </si>
  <si>
    <t xml:space="preserve">Check index, open file, enter in file register, put up</t>
  </si>
  <si>
    <t xml:space="preserve">Application in section</t>
  </si>
  <si>
    <t xml:space="preserve">Case file opened and registered</t>
  </si>
  <si>
    <t xml:space="preserve">S11 (UDA)</t>
  </si>
  <si>
    <t xml:space="preserve">Paper file and register</t>
  </si>
  <si>
    <t xml:space="preserve">1 day</t>
  </si>
  <si>
    <t xml:space="preserve">S11</t>
  </si>
  <si>
    <t xml:space="preserve">Table step 11</t>
  </si>
  <si>
    <t xml:space="preserve">Check documents received with application</t>
  </si>
  <si>
    <t xml:space="preserve">Case file</t>
  </si>
  <si>
    <t xml:space="preserve">Document check result</t>
  </si>
  <si>
    <t xml:space="preserve">G1 (decision)</t>
  </si>
  <si>
    <t xml:space="preserve">Verification</t>
  </si>
  <si>
    <t xml:space="preserve">The only substantive document check in the BKKB process.</t>
  </si>
  <si>
    <t xml:space="preserve">G1</t>
  </si>
  <si>
    <t xml:space="preserve">Source map decision</t>
  </si>
  <si>
    <t xml:space="preserve">Decision: documents complete?</t>
  </si>
  <si>
    <t xml:space="preserve">Yes: S13. No: S12</t>
  </si>
  <si>
    <t xml:space="preserve">S13 or S12</t>
  </si>
  <si>
    <t xml:space="preserve">Decision</t>
  </si>
  <si>
    <t xml:space="preserve">Completeness check only. No eligibility determination and no rejection path documented.</t>
  </si>
  <si>
    <t xml:space="preserve">S12</t>
  </si>
  <si>
    <t xml:space="preserve">Table step 12</t>
  </si>
  <si>
    <t xml:space="preserve">R. Defect return and rework (exception)</t>
  </si>
  <si>
    <t xml:space="preserve">Send SMS to applicant and letter to employer office listing defects</t>
  </si>
  <si>
    <t xml:space="preserve">Incomplete file</t>
  </si>
  <si>
    <t xml:space="preserve">SMS to applicant; letter to employer</t>
  </si>
  <si>
    <t xml:space="preserve">A3 and E_fix (rework); BKKB case closes</t>
  </si>
  <si>
    <t xml:space="preserve">SMS; paper letter</t>
  </si>
  <si>
    <t xml:space="preserve">Exception notification</t>
  </si>
  <si>
    <t xml:space="preserve">Resubmission arrives as a new hard copy and re-enters at S4, repeating the marking cascade.</t>
  </si>
  <si>
    <t xml:space="preserve">A3</t>
  </si>
  <si>
    <t xml:space="preserve">Map rework loop (to step 2)</t>
  </si>
  <si>
    <t xml:space="preserve">Correct defects in form or documents; re-upload</t>
  </si>
  <si>
    <t xml:space="preserve">Defect SMS</t>
  </si>
  <si>
    <t xml:space="preserve">Corrected online submission</t>
  </si>
  <si>
    <t xml:space="preserve">A2 (re-submit)</t>
  </si>
  <si>
    <t xml:space="preserve">Citizen action (rework)</t>
  </si>
  <si>
    <t xml:space="preserve">No time limit or rework cap.</t>
  </si>
  <si>
    <t xml:space="preserve">E_fix</t>
  </si>
  <si>
    <t xml:space="preserve">Table step 12; map loop to step 2</t>
  </si>
  <si>
    <t xml:space="preserve">Inform applicant; obtain corrected documents; re-attest and re-forward</t>
  </si>
  <si>
    <t xml:space="preserve">Defect letter</t>
  </si>
  <si>
    <t xml:space="preserve">Corrected hard copy file</t>
  </si>
  <si>
    <t xml:space="preserve">E1 (re-forward)</t>
  </si>
  <si>
    <t xml:space="preserve">Rework</t>
  </si>
  <si>
    <t xml:space="preserve">Runs in parallel with A3. Two rework loops for one defect.</t>
  </si>
  <si>
    <t xml:space="preserve">S13</t>
  </si>
  <si>
    <t xml:space="preserve">Table step 13</t>
  </si>
  <si>
    <t xml:space="preserve">C. Upward approval chain</t>
  </si>
  <si>
    <t xml:space="preserve">AD (Welfare) / Welfare Officer</t>
  </si>
  <si>
    <t xml:space="preserve">Approve; put up to Deputy Director</t>
  </si>
  <si>
    <t xml:space="preserve">Complete case file</t>
  </si>
  <si>
    <t xml:space="preserve">Approval note; file put up</t>
  </si>
  <si>
    <t xml:space="preserve">S14 (DD)</t>
  </si>
  <si>
    <t xml:space="preserve">Approval</t>
  </si>
  <si>
    <t xml:space="preserve">Time not stated in source.</t>
  </si>
  <si>
    <t xml:space="preserve">S14</t>
  </si>
  <si>
    <t xml:space="preserve">Table step 14</t>
  </si>
  <si>
    <t xml:space="preserve">Check and approve</t>
  </si>
  <si>
    <t xml:space="preserve">File with approval note</t>
  </si>
  <si>
    <t xml:space="preserve">S15 (Director)</t>
  </si>
  <si>
    <t xml:space="preserve">No return or rejection outcome documented.</t>
  </si>
  <si>
    <t xml:space="preserve">S15</t>
  </si>
  <si>
    <t xml:space="preserve">Table step 15</t>
  </si>
  <si>
    <t xml:space="preserve">Check file and draft order</t>
  </si>
  <si>
    <t xml:space="preserve">File</t>
  </si>
  <si>
    <t xml:space="preserve">Draft order approved</t>
  </si>
  <si>
    <t xml:space="preserve">S16 (ADG)</t>
  </si>
  <si>
    <t xml:space="preserve">S16</t>
  </si>
  <si>
    <t xml:space="preserve">Table step 16</t>
  </si>
  <si>
    <t xml:space="preserve">Additional DG</t>
  </si>
  <si>
    <t xml:space="preserve">Approve; put up to DG</t>
  </si>
  <si>
    <t xml:space="preserve">File and draft order</t>
  </si>
  <si>
    <t xml:space="preserve">S17 (DG)</t>
  </si>
  <si>
    <t xml:space="preserve">Source map omits this step. Confirm with BKKB.</t>
  </si>
  <si>
    <t xml:space="preserve">S17</t>
  </si>
  <si>
    <t xml:space="preserve">Table step 17</t>
  </si>
  <si>
    <t xml:space="preserve">Final approval; file goes down</t>
  </si>
  <si>
    <t xml:space="preserve">Approved order</t>
  </si>
  <si>
    <t xml:space="preserve">S18 (Director)</t>
  </si>
  <si>
    <t xml:space="preserve">Table names DG as final approver; map shows ADG. Confirm with BKKB.</t>
  </si>
  <si>
    <t xml:space="preserve">S18</t>
  </si>
  <si>
    <t xml:space="preserve">Table step 18</t>
  </si>
  <si>
    <t xml:space="preserve">D. File returned down</t>
  </si>
  <si>
    <t xml:space="preserve">Send file down</t>
  </si>
  <si>
    <t xml:space="preserve">Approved file</t>
  </si>
  <si>
    <t xml:space="preserve">File routed down</t>
  </si>
  <si>
    <t xml:space="preserve">S19 (DD)</t>
  </si>
  <si>
    <t xml:space="preserve">S19</t>
  </si>
  <si>
    <t xml:space="preserve">Table step 19</t>
  </si>
  <si>
    <t xml:space="preserve">S20 (AD)</t>
  </si>
  <si>
    <t xml:space="preserve">S20</t>
  </si>
  <si>
    <t xml:space="preserve">Table step 20</t>
  </si>
  <si>
    <t xml:space="preserve">Receive file in section</t>
  </si>
  <si>
    <t xml:space="preserve">File in section</t>
  </si>
  <si>
    <t xml:space="preserve">S21 (Welfare Officer)</t>
  </si>
  <si>
    <t xml:space="preserve">S21</t>
  </si>
  <si>
    <t xml:space="preserve">Table step 21</t>
  </si>
  <si>
    <t xml:space="preserve">E. Card printing and registration</t>
  </si>
  <si>
    <t xml:space="preserve">Welfare Officer</t>
  </si>
  <si>
    <t xml:space="preserve">Print approved order as three colour cards; send to UDA</t>
  </si>
  <si>
    <t xml:space="preserve">Three cards (applicant, bank and office copies)</t>
  </si>
  <si>
    <t xml:space="preserve">S22 (UDA)</t>
  </si>
  <si>
    <t xml:space="preserve">Paper cards</t>
  </si>
  <si>
    <t xml:space="preserve">Document production</t>
  </si>
  <si>
    <t xml:space="preserve">Paper card is the payment instrument.</t>
  </si>
  <si>
    <t xml:space="preserve">S22</t>
  </si>
  <si>
    <t xml:space="preserve">Table step 22</t>
  </si>
  <si>
    <t xml:space="preserve">Enter card numbers in register; send to Accounts Officer</t>
  </si>
  <si>
    <t xml:space="preserve">Printed cards</t>
  </si>
  <si>
    <t xml:space="preserve">Card register entry</t>
  </si>
  <si>
    <t xml:space="preserve">S23 (Accounts Officer)</t>
  </si>
  <si>
    <t xml:space="preserve">4-5 h</t>
  </si>
  <si>
    <t xml:space="preserve">S23</t>
  </si>
  <si>
    <t xml:space="preserve">Table step 23</t>
  </si>
  <si>
    <t xml:space="preserve">Accounts Officer (Welfare)</t>
  </si>
  <si>
    <t xml:space="preserve">Sign card register</t>
  </si>
  <si>
    <t xml:space="preserve">Card register</t>
  </si>
  <si>
    <t xml:space="preserve">Signed register</t>
  </si>
  <si>
    <t xml:space="preserve">S24 (UDA)</t>
  </si>
  <si>
    <t xml:space="preserve">Signature</t>
  </si>
  <si>
    <t xml:space="preserve">S24</t>
  </si>
  <si>
    <t xml:space="preserve">Table step 24</t>
  </si>
  <si>
    <t xml:space="preserve">F. Card despatch to beneficiary</t>
  </si>
  <si>
    <t xml:space="preserve">Prepare forwarding letter for applicant card</t>
  </si>
  <si>
    <t xml:space="preserve">Applicant copy of card</t>
  </si>
  <si>
    <t xml:space="preserve">Draft forwarding letter</t>
  </si>
  <si>
    <t xml:space="preserve">S25 (AD)</t>
  </si>
  <si>
    <t xml:space="preserve">Paper letter</t>
  </si>
  <si>
    <t xml:space="preserve">Card path (S24 to S27) runs before the bank path (S28 to S33) although the two are independent.</t>
  </si>
  <si>
    <t xml:space="preserve">S25</t>
  </si>
  <si>
    <t xml:space="preserve">Table step 25</t>
  </si>
  <si>
    <t xml:space="preserve">Sign forwarding letter</t>
  </si>
  <si>
    <t xml:space="preserve">Draft letter</t>
  </si>
  <si>
    <t xml:space="preserve">Signed letter</t>
  </si>
  <si>
    <t xml:space="preserve">S26 (Despatch Rider)</t>
  </si>
  <si>
    <t xml:space="preserve">S26</t>
  </si>
  <si>
    <t xml:space="preserve">Table step 26</t>
  </si>
  <si>
    <t xml:space="preserve">Despatch Rider</t>
  </si>
  <si>
    <t xml:space="preserve">Post applicant card to employer office by registered mail</t>
  </si>
  <si>
    <t xml:space="preserve">Card and signed letter</t>
  </si>
  <si>
    <t xml:space="preserve">Card in registered post</t>
  </si>
  <si>
    <t xml:space="preserve">S27 (Office Assistant); E_hand (employer)</t>
  </si>
  <si>
    <t xml:space="preserve">Registered post</t>
  </si>
  <si>
    <t xml:space="preserve">Postal transit time to employer not stated.</t>
  </si>
  <si>
    <t xml:space="preserve">S27</t>
  </si>
  <si>
    <t xml:space="preserve">Table step 27</t>
  </si>
  <si>
    <t xml:space="preserve">File registry slip in case file</t>
  </si>
  <si>
    <t xml:space="preserve">Registry slip</t>
  </si>
  <si>
    <t xml:space="preserve">Updated case file</t>
  </si>
  <si>
    <t xml:space="preserve">S28 (UDA)</t>
  </si>
  <si>
    <t xml:space="preserve">E_hand</t>
  </si>
  <si>
    <t xml:space="preserve">Comparison table, section 3(2)</t>
  </si>
  <si>
    <t xml:space="preserve">Hand over card to beneficiary, collected in person</t>
  </si>
  <si>
    <t xml:space="preserve">Card received by post</t>
  </si>
  <si>
    <t xml:space="preserve">Card with beneficiary</t>
  </si>
  <si>
    <t xml:space="preserve">A_pay (applicant)</t>
  </si>
  <si>
    <t xml:space="preserve">In person</t>
  </si>
  <si>
    <t xml:space="preserve">Hand-over</t>
  </si>
  <si>
    <t xml:space="preserve">Additional in-person visit by the beneficiary. Card may arrive before the branch holds its copy.</t>
  </si>
  <si>
    <t xml:space="preserve">S28</t>
  </si>
  <si>
    <t xml:space="preserve">Table step 28</t>
  </si>
  <si>
    <t xml:space="preserve">G. Bank instruction</t>
  </si>
  <si>
    <t xml:space="preserve">Prepare card list and letter to Sonali Bank, Ramna</t>
  </si>
  <si>
    <t xml:space="preserve">Bank copies of cards</t>
  </si>
  <si>
    <t xml:space="preserve">Draft list and letter</t>
  </si>
  <si>
    <t xml:space="preserve">S29 (AD)</t>
  </si>
  <si>
    <t xml:space="preserve">Paper list and letter</t>
  </si>
  <si>
    <t xml:space="preserve">Starts only after the card path completes.</t>
  </si>
  <si>
    <t xml:space="preserve">S29</t>
  </si>
  <si>
    <t xml:space="preserve">Table step 29</t>
  </si>
  <si>
    <t xml:space="preserve">Sign file</t>
  </si>
  <si>
    <t xml:space="preserve">Signed file</t>
  </si>
  <si>
    <t xml:space="preserve">S30 (DD)</t>
  </si>
  <si>
    <t xml:space="preserve">5-6 h</t>
  </si>
  <si>
    <t xml:space="preserve">S30</t>
  </si>
  <si>
    <t xml:space="preserve">Table step 30</t>
  </si>
  <si>
    <t xml:space="preserve">Sign list and letter</t>
  </si>
  <si>
    <t xml:space="preserve">Signed list and letter</t>
  </si>
  <si>
    <t xml:space="preserve">S31 (AD)</t>
  </si>
  <si>
    <t xml:space="preserve">S31</t>
  </si>
  <si>
    <t xml:space="preserve">Table step 31</t>
  </si>
  <si>
    <t xml:space="preserve">Sign file; file goes down</t>
  </si>
  <si>
    <t xml:space="preserve">File signed again</t>
  </si>
  <si>
    <t xml:space="preserve">S32 (Office Assistant)</t>
  </si>
  <si>
    <t xml:space="preserve">AD signs twice, either side of the DD signature at S30.</t>
  </si>
  <si>
    <t xml:space="preserve">S32</t>
  </si>
  <si>
    <t xml:space="preserve">Table step 32</t>
  </si>
  <si>
    <t xml:space="preserve">Issue letter</t>
  </si>
  <si>
    <t xml:space="preserve">Issued letter</t>
  </si>
  <si>
    <t xml:space="preserve">S33 (Despatch Rider)</t>
  </si>
  <si>
    <t xml:space="preserve">S33</t>
  </si>
  <si>
    <t xml:space="preserve">Table step 33</t>
  </si>
  <si>
    <t xml:space="preserve">Send list, letter and bank-copy cards to Ramna by peon</t>
  </si>
  <si>
    <t xml:space="preserve">Issued letter, list and cards</t>
  </si>
  <si>
    <t xml:space="preserve">Package delivered to Ramna</t>
  </si>
  <si>
    <t xml:space="preserve">S34 (Ramna)</t>
  </si>
  <si>
    <t xml:space="preserve">Hand delivery by peon</t>
  </si>
  <si>
    <t xml:space="preserve">BKKB case closes here.</t>
  </si>
  <si>
    <t xml:space="preserve">S34</t>
  </si>
  <si>
    <t xml:space="preserve">Table step 34</t>
  </si>
  <si>
    <t xml:space="preserve">H. Bank distribution</t>
  </si>
  <si>
    <t xml:space="preserve">Sonali Bank, Ramna Corporate Branch</t>
  </si>
  <si>
    <t xml:space="preserve">Ramna Corporate Branch</t>
  </si>
  <si>
    <t xml:space="preserve">Send bank-copy cards to paying branches</t>
  </si>
  <si>
    <t xml:space="preserve">List, letter and bank-copy cards</t>
  </si>
  <si>
    <t xml:space="preserve">Cards at paying branches</t>
  </si>
  <si>
    <t xml:space="preserve">Br1 (paying branch)</t>
  </si>
  <si>
    <t xml:space="preserve">Internal bank despatch</t>
  </si>
  <si>
    <t xml:space="preserve">7 days</t>
  </si>
  <si>
    <t xml:space="preserve">Largest single stated step. Ramna acts as a physical relay only.</t>
  </si>
  <si>
    <t xml:space="preserve">Br1</t>
  </si>
  <si>
    <t xml:space="preserve">Source section 2(a)</t>
  </si>
  <si>
    <t xml:space="preserve">Sonali Bank, paying branch</t>
  </si>
  <si>
    <t xml:space="preserve">Paying branch</t>
  </si>
  <si>
    <t xml:space="preserve">File bank-copy card against case</t>
  </si>
  <si>
    <t xml:space="preserve">Bank-copy card</t>
  </si>
  <si>
    <t xml:space="preserve">Card on file at branch</t>
  </si>
  <si>
    <t xml:space="preserve">Br2 (on beneficiary visit)</t>
  </si>
  <si>
    <t xml:space="preserve">Not mapped in source.</t>
  </si>
  <si>
    <t xml:space="preserve">A_pay</t>
  </si>
  <si>
    <t xml:space="preserve">Terms of service 1 and 2; challenge 1</t>
  </si>
  <si>
    <t xml:space="preserve">I. Monthly disbursement (recurring)</t>
  </si>
  <si>
    <t xml:space="preserve">Beneficiary</t>
  </si>
  <si>
    <t xml:space="preserve">Present card and certificate at branch; withdraw cash</t>
  </si>
  <si>
    <t xml:space="preserve">Applicant card; certificate</t>
  </si>
  <si>
    <t xml:space="preserve">Cash received</t>
  </si>
  <si>
    <t xml:space="preserve">Br2 (branch)</t>
  </si>
  <si>
    <t xml:space="preserve">In person at branch</t>
  </si>
  <si>
    <t xml:space="preserve">Citizen action (payment)</t>
  </si>
  <si>
    <t xml:space="preserve">Repeats monthly for up to 15 years, i.e. up to 180 branch visits.</t>
  </si>
  <si>
    <t xml:space="preserve">Br2</t>
  </si>
  <si>
    <t xml:space="preserve">Terms of service 1 and 2</t>
  </si>
  <si>
    <t xml:space="preserve">Check card, certificate and signature; pay cash</t>
  </si>
  <si>
    <t xml:space="preserve">Card; certificate; bank-copy card</t>
  </si>
  <si>
    <t xml:space="preserve">Cash paid; card endorsed</t>
  </si>
  <si>
    <t xml:space="preserve">End (monthly cycle)</t>
  </si>
  <si>
    <t xml:space="preserve">Over the counter, cash</t>
  </si>
  <si>
    <t xml:space="preserve">Payment</t>
  </si>
  <si>
    <t xml:space="preserve">Repeats every month.</t>
  </si>
  <si>
    <t xml:space="preserve">Summary of stated times, effort and structure</t>
  </si>
  <si>
    <t xml:space="preserve">All figures calculate from the 'As-Is Process Map' sheet. Working day = hours set on the Assumptions sheet.</t>
  </si>
  <si>
    <t xml:space="preserve">1. Stated time by phase</t>
  </si>
  <si>
    <t xml:space="preserve">Steps</t>
  </si>
  <si>
    <t xml:space="preserve">Steps with no stated time</t>
  </si>
  <si>
    <t xml:space="preserve">BKKB pre-decision (A to C)</t>
  </si>
  <si>
    <t xml:space="preserve">BKKB post-decision (D to G)</t>
  </si>
  <si>
    <t xml:space="preserve">BKKB total (A to G)</t>
  </si>
  <si>
    <t xml:space="preserve">Stated total, BKKB receipt to cards at branches (A to H)</t>
  </si>
  <si>
    <t xml:space="preserve">Excludes P0, rework (R), monthly disbursement (I), postal transit and S13.</t>
  </si>
  <si>
    <t xml:space="preserve">Post-decision share of BKKB time (min / max)</t>
  </si>
  <si>
    <t xml:space="preserve">Critical-path saving if card path (F) runs in parallel with bank path (G)</t>
  </si>
  <si>
    <t xml:space="preserve">Valid because G is longer than F, so F leaves the critical path.</t>
  </si>
  <si>
    <t xml:space="preserve">2. Workload by performer</t>
  </si>
  <si>
    <t xml:space="preserve">3. Steps by activity type</t>
  </si>
  <si>
    <t xml:space="preserve">All steps</t>
  </si>
  <si>
    <t xml:space="preserve">BKKB steps</t>
  </si>
  <si>
    <t xml:space="preserve">Total</t>
  </si>
  <si>
    <t xml:space="preserve">4. TCVQ baseline, citizen perspective (input to SPS Chhok 7)</t>
  </si>
  <si>
    <t xml:space="preserve">Dimension</t>
  </si>
  <si>
    <t xml:space="preserve">As-Is value</t>
  </si>
  <si>
    <t xml:space="preserve">Basis / note</t>
  </si>
  <si>
    <t xml:space="preserve">Time: stated, BKKB receipt to cards at branches (working days, min)</t>
  </si>
  <si>
    <t xml:space="preserve">From section 1. Excludes P0, rework, postal transit and S13.</t>
  </si>
  <si>
    <t xml:space="preserve">Time: stated, BKKB receipt to cards at branches (working days, max)</t>
  </si>
  <si>
    <t xml:space="preserve">As above. True citizen time is longer and not measured.</t>
  </si>
  <si>
    <t xml:space="preserve">Visits: onboarding, no rework (employer attestation + card collection)</t>
  </si>
  <si>
    <t xml:space="preserve">Minimum. Attestation may need separate drop-off and collection visits.</t>
  </si>
  <si>
    <t xml:space="preserve">Visits: added per rework cycle</t>
  </si>
  <si>
    <t xml:space="preserve">Employer re-attestation.</t>
  </si>
  <si>
    <t xml:space="preserve">Visits: monthly disbursement, per month</t>
  </si>
  <si>
    <t xml:space="preserve">Branch visit to withdraw cash.</t>
  </si>
  <si>
    <t xml:space="preserve">Visits: monthly disbursement, over grant life (max)</t>
  </si>
  <si>
    <t xml:space="preserve">Up to 15 years.</t>
  </si>
  <si>
    <t xml:space="preserve">Travel, copying and attestation costs not in source. Collect in citizen survey.</t>
  </si>
  <si>
    <t xml:space="preserve">Documents submitted / needing attestation</t>
  </si>
  <si>
    <t xml:space="preserve">11 / 10</t>
  </si>
  <si>
    <t xml:space="preserve">Source document list.</t>
  </si>
  <si>
    <t xml:space="preserve">Quality: defect notification</t>
  </si>
  <si>
    <t xml:space="preserve">SMS + letter</t>
  </si>
  <si>
    <t xml:space="preserve">No rejection path, no time limit, no status tracking documented.</t>
  </si>
  <si>
    <t xml:space="preserve">5. Structural counts (BKKB, main path)</t>
  </si>
  <si>
    <t xml:space="preserve">Measure</t>
  </si>
  <si>
    <t xml:space="preserve">Value</t>
  </si>
  <si>
    <t xml:space="preserve">BKKB steps (S4 to S33, incl. decision G1)</t>
  </si>
  <si>
    <t xml:space="preserve">Formula</t>
  </si>
  <si>
    <t xml:space="preserve">Internal hand-offs between roles, S4 to S33 main path</t>
  </si>
  <si>
    <t xml:space="preserve">Counted from lane sequence</t>
  </si>
  <si>
    <t xml:space="preserve">Sign-offs per case (5 approvals + 5 post-approval signatures)</t>
  </si>
  <si>
    <t xml:space="preserve">Marking / routing steps with no decision</t>
  </si>
  <si>
    <t xml:space="preserve">Manual registers or slips (S6, S10, S22, S27)</t>
  </si>
  <si>
    <t xml:space="preserve">Counted</t>
  </si>
  <si>
    <t xml:space="preserve">Supporting documents / documents needing attestation</t>
  </si>
  <si>
    <t xml:space="preserve">Source document list</t>
  </si>
  <si>
    <t xml:space="preserve">Maximum monthly branch visits over grant life (12 x 15 years)</t>
  </si>
  <si>
    <t xml:space="preserve">Terms of service</t>
  </si>
  <si>
    <t xml:space="preserve">Open issues, model inconsistencies and measurement gaps</t>
  </si>
  <si>
    <t xml:space="preserve">ID</t>
  </si>
  <si>
    <t xml:space="preserve">Ref</t>
  </si>
  <si>
    <t xml:space="preserve">Category</t>
  </si>
  <si>
    <t xml:space="preserve">Issue</t>
  </si>
  <si>
    <t xml:space="preserve">Implication</t>
  </si>
  <si>
    <t xml:space="preserve">Confirm with</t>
  </si>
  <si>
    <t xml:space="preserve">I01</t>
  </si>
  <si>
    <t xml:space="preserve">Model inconsistency</t>
  </si>
  <si>
    <t xml:space="preserve">S6 label says route to Additional DG, but the next step is S7 Director (Admin). The ADG lane holds only S16.</t>
  </si>
  <si>
    <t xml:space="preserve">Either the label or the routing is wrong; affects marking-chain length.</t>
  </si>
  <si>
    <t xml:space="preserve">BKKB Admin</t>
  </si>
  <si>
    <t xml:space="preserve">I02</t>
  </si>
  <si>
    <t xml:space="preserve">S16 / S17</t>
  </si>
  <si>
    <t xml:space="preserve">Step table names DG as final approver (S17); source map shows ADG (map step 15) and omits S16.</t>
  </si>
  <si>
    <t xml:space="preserve">Approval chain may be four or five levels.</t>
  </si>
  <si>
    <t xml:space="preserve">I03</t>
  </si>
  <si>
    <t xml:space="preserve">S13 to S17</t>
  </si>
  <si>
    <t xml:space="preserve">Structural gap</t>
  </si>
  <si>
    <t xml:space="preserve">All five approvals are modelled as approve only. No return or rejection outcome documented.</t>
  </si>
  <si>
    <t xml:space="preserve">Either approvals add no independent check, or an undocumented exception path exists.</t>
  </si>
  <si>
    <t xml:space="preserve">BKKB Welfare section</t>
  </si>
  <si>
    <t xml:space="preserve">I04</t>
  </si>
  <si>
    <t xml:space="preserve">Only a completeness check exists. No eligibility determination or ineligibility path is documented.</t>
  </si>
  <si>
    <t xml:space="preserve">Eligibility appears to be assumed from employer attestation.</t>
  </si>
  <si>
    <t xml:space="preserve">I05</t>
  </si>
  <si>
    <t xml:space="preserve">S12 / S4</t>
  </si>
  <si>
    <t xml:space="preserve">Assumption</t>
  </si>
  <si>
    <t xml:space="preserve">Model assumes a corrected file re-enters at S4 and repeats the full marking cascade.</t>
  </si>
  <si>
    <t xml:space="preserve">Rework cost per cycle of at least 3.4 to 4 working days inside BKKB if confirmed.</t>
  </si>
  <si>
    <t xml:space="preserve">I06</t>
  </si>
  <si>
    <t xml:space="preserve">A2 / E1</t>
  </si>
  <si>
    <t xml:space="preserve">Structural finding</t>
  </si>
  <si>
    <t xml:space="preserve">The online submission has no downstream consumer at BKKB; processing starts from the hard copy.</t>
  </si>
  <si>
    <t xml:space="preserve">Citizen submits twice, once online and once on paper through the employer.</t>
  </si>
  <si>
    <t xml:space="preserve">BKKB IT; Welfare section</t>
  </si>
  <si>
    <t xml:space="preserve">I07</t>
  </si>
  <si>
    <t xml:space="preserve">A_pay / Br2</t>
  </si>
  <si>
    <t xml:space="preserve">Monthly cash withdrawal is modelled as a single occurrence.</t>
  </si>
  <si>
    <t xml:space="preserve">Understates the largest citizen burden (up to 180 visits). Add loop marker or recurring sub-process.</t>
  </si>
  <si>
    <t xml:space="preserve">Model owner</t>
  </si>
  <si>
    <t xml:space="preserve">I08</t>
  </si>
  <si>
    <t xml:space="preserve">E_hand / Br1</t>
  </si>
  <si>
    <t xml:space="preserve">Beneficiary may receive the card before Ramna's 7-day distribution reaches the branch.</t>
  </si>
  <si>
    <t xml:space="preserve">Risk of a failed first branch visit; not shown in model.</t>
  </si>
  <si>
    <t xml:space="preserve">Sonali Bank</t>
  </si>
  <si>
    <t xml:space="preserve">I09</t>
  </si>
  <si>
    <t xml:space="preserve">P0, S13, E_hand, Br1</t>
  </si>
  <si>
    <t xml:space="preserve">Measurement gap</t>
  </si>
  <si>
    <t xml:space="preserve">No stated time for applicant and employer steps, S13, card hand-over or branch filing.</t>
  </si>
  <si>
    <t xml:space="preserve">True citizen-experienced duration cannot be quantified.</t>
  </si>
  <si>
    <t xml:space="preserve">BKKB; employer offices</t>
  </si>
  <si>
    <t xml:space="preserve">I10</t>
  </si>
  <si>
    <t xml:space="preserve">All</t>
  </si>
  <si>
    <t xml:space="preserve">No end-to-end time (first action to first cash), rework rate or case volume in source.</t>
  </si>
  <si>
    <t xml:space="preserve">No baseline for To-Be targets.</t>
  </si>
  <si>
    <t xml:space="preserve">BKKB MIS / file registers</t>
  </si>
  <si>
    <t xml:space="preserve">I11</t>
  </si>
  <si>
    <t xml:space="preserve">All T values</t>
  </si>
  <si>
    <t xml:space="preserve">Unclear whether stated times are touch time or elapsed time including queues. '1 day' entries suggest queue time.</t>
  </si>
  <si>
    <t xml:space="preserve">Totals may overstate effort and understate elapsed time.</t>
  </si>
  <si>
    <t xml:space="preserve">BKKB</t>
  </si>
  <si>
    <t xml:space="preserve">I12</t>
  </si>
  <si>
    <t xml:space="preserve">Participant</t>
  </si>
  <si>
    <t xml:space="preserve">Model note</t>
  </si>
  <si>
    <t xml:space="preserve">Start event refers to the heir; in disability cases the applicant may be the employee.</t>
  </si>
  <si>
    <t xml:space="preserve">Wording of trigger and applicant role.</t>
  </si>
  <si>
    <t xml:space="preserve">Assumptions and legend</t>
  </si>
  <si>
    <t xml:space="preserve">Working hours per day</t>
  </si>
  <si>
    <t xml:space="preserve">Assumption. Used to convert stated 'day' times to hours and hours to working days. Edit to test sensitivity.</t>
  </si>
  <si>
    <t xml:space="preserve">Citizen visit counts are minimums inferred from the model (blue). Cost to citizen is not stated in the source.</t>
  </si>
  <si>
    <t xml:space="preserve">Legend</t>
  </si>
  <si>
    <t xml:space="preserve">Blue text</t>
  </si>
  <si>
    <t xml:space="preserve">Hard-coded input from the source (stated times) or a counted value.</t>
  </si>
  <si>
    <t xml:space="preserve">Black text</t>
  </si>
  <si>
    <t xml:space="preserve">Formula.</t>
  </si>
  <si>
    <t xml:space="preserve">Yellow fill</t>
  </si>
  <si>
    <t xml:space="preserve">Assumption you can edit.</t>
  </si>
  <si>
    <t xml:space="preserve">Orange row (process map)</t>
  </si>
  <si>
    <t xml:space="preserve">Inferred step: not in the source map; derived from the service profile, document list or terms of service.</t>
  </si>
  <si>
    <t xml:space="preserve">Red row (process map)</t>
  </si>
  <si>
    <t xml:space="preserve">Defect return and rework exception path.</t>
  </si>
  <si>
    <t xml:space="preserve">Blue row (process map)</t>
  </si>
  <si>
    <t xml:space="preserve">Recurring monthly disbursement (up to 15 years).</t>
  </si>
  <si>
    <t xml:space="preserve">'Immediate'</t>
  </si>
  <si>
    <t xml:space="preserve">Recorded as 0 hours.</t>
  </si>
  <si>
    <t xml:space="preserve">'Not stated'</t>
  </si>
  <si>
    <t xml:space="preserve">Left blank; excluded from totals. Totals therefore understate elapsed time.</t>
  </si>
  <si>
    <t xml:space="preserve">Phase P0, R, I</t>
  </si>
  <si>
    <t xml:space="preserve">Excluded from the stated-time total: P0 and I have no stated times; R is an exception path.</t>
  </si>
  <si>
    <t xml:space="preserve">BKKB_Monthly_Welfare_Grant_AsIs.bpmn, which references the BKKB step table, source process map, service profile and comparison table.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</si>
</sst>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General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3E0"/>
        <bgColor rgb="FFFDE9E9"/>
      </patternFill>
    </fill>
    <fill>
      <patternFill patternType="solid">
        <fgColor rgb="FFFDE9E9"/>
        <bgColor rgb="FFFFF3E0"/>
      </patternFill>
    </fill>
    <fill>
      <patternFill patternType="solid">
        <fgColor rgb="FFE8F1FB"/>
        <bgColor rgb="FFFDE9E9"/>
      </patternFill>
    </fill>
    <fill>
      <patternFill patternType="solid">
        <fgColor rgb="FFD9E1F2"/>
        <bgColor rgb="FFE8F1F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E0"/>
      <rgbColor rgb="FFE8F1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36"/>
    <col collapsed="false" customWidth="true" hidden="false" outlineLevel="0" max="9" min="8" style="0" width="26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4" min="13" style="0" width="8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0" min="20" style="0" width="9"/>
    <col collapsed="false" customWidth="true" hidden="false" outlineLevel="0" max="21" min="21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22.35" hidden="false" customHeight="false" outlineLevel="0" collapsed="false">
      <c r="A5" s="4" t="n">
        <v>1</v>
      </c>
      <c r="B5" s="4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4" t="s">
        <v>33</v>
      </c>
      <c r="M5" s="6"/>
      <c r="N5" s="6"/>
      <c r="O5" s="7"/>
      <c r="P5" s="7"/>
      <c r="Q5" s="4"/>
      <c r="R5" s="4" t="s">
        <v>33</v>
      </c>
      <c r="S5" s="5" t="s">
        <v>34</v>
      </c>
      <c r="T5" s="4" t="s">
        <v>35</v>
      </c>
      <c r="U5" s="5" t="s">
        <v>36</v>
      </c>
    </row>
    <row r="6" customFormat="false" ht="32.8" hidden="false" customHeight="false" outlineLevel="0" collapsed="false">
      <c r="A6" s="8" t="n">
        <v>2</v>
      </c>
      <c r="B6" s="8" t="s">
        <v>37</v>
      </c>
      <c r="C6" s="9" t="s">
        <v>38</v>
      </c>
      <c r="D6" s="9" t="s">
        <v>25</v>
      </c>
      <c r="E6" s="9" t="s">
        <v>39</v>
      </c>
      <c r="F6" s="9" t="s">
        <v>40</v>
      </c>
      <c r="G6" s="9" t="s">
        <v>41</v>
      </c>
      <c r="H6" s="9" t="s">
        <v>42</v>
      </c>
      <c r="I6" s="9" t="s">
        <v>43</v>
      </c>
      <c r="J6" s="9" t="s">
        <v>44</v>
      </c>
      <c r="K6" s="9" t="s">
        <v>45</v>
      </c>
      <c r="L6" s="8" t="s">
        <v>33</v>
      </c>
      <c r="M6" s="10"/>
      <c r="N6" s="10"/>
      <c r="O6" s="11"/>
      <c r="P6" s="11"/>
      <c r="Q6" s="12" t="n">
        <v>1</v>
      </c>
      <c r="R6" s="8" t="s">
        <v>33</v>
      </c>
      <c r="S6" s="9" t="s">
        <v>46</v>
      </c>
      <c r="T6" s="8" t="s">
        <v>47</v>
      </c>
      <c r="U6" s="9" t="s">
        <v>48</v>
      </c>
    </row>
    <row r="7" customFormat="false" ht="22.35" hidden="false" customHeight="false" outlineLevel="0" collapsed="false">
      <c r="A7" s="4" t="n">
        <v>3</v>
      </c>
      <c r="B7" s="4" t="s">
        <v>49</v>
      </c>
      <c r="C7" s="5" t="s">
        <v>50</v>
      </c>
      <c r="D7" s="5" t="s">
        <v>25</v>
      </c>
      <c r="E7" s="5" t="s">
        <v>26</v>
      </c>
      <c r="F7" s="5" t="s">
        <v>27</v>
      </c>
      <c r="G7" s="5" t="s">
        <v>51</v>
      </c>
      <c r="H7" s="5" t="s">
        <v>52</v>
      </c>
      <c r="I7" s="5" t="s">
        <v>53</v>
      </c>
      <c r="J7" s="5" t="s">
        <v>54</v>
      </c>
      <c r="K7" s="5" t="s">
        <v>55</v>
      </c>
      <c r="L7" s="4" t="s">
        <v>33</v>
      </c>
      <c r="M7" s="6"/>
      <c r="N7" s="6"/>
      <c r="O7" s="7"/>
      <c r="P7" s="7"/>
      <c r="Q7" s="4"/>
      <c r="R7" s="4" t="s">
        <v>33</v>
      </c>
      <c r="S7" s="5" t="s">
        <v>34</v>
      </c>
      <c r="T7" s="4" t="s">
        <v>35</v>
      </c>
      <c r="U7" s="5" t="s">
        <v>56</v>
      </c>
    </row>
    <row r="8" customFormat="false" ht="22.35" hidden="false" customHeight="false" outlineLevel="0" collapsed="false">
      <c r="A8" s="4" t="n">
        <v>4</v>
      </c>
      <c r="B8" s="4" t="s">
        <v>57</v>
      </c>
      <c r="C8" s="5" t="s">
        <v>58</v>
      </c>
      <c r="D8" s="5" t="s">
        <v>25</v>
      </c>
      <c r="E8" s="5" t="s">
        <v>39</v>
      </c>
      <c r="F8" s="5" t="s">
        <v>40</v>
      </c>
      <c r="G8" s="5" t="s">
        <v>59</v>
      </c>
      <c r="H8" s="5" t="s">
        <v>60</v>
      </c>
      <c r="I8" s="5" t="s">
        <v>61</v>
      </c>
      <c r="J8" s="5" t="s">
        <v>62</v>
      </c>
      <c r="K8" s="5" t="s">
        <v>63</v>
      </c>
      <c r="L8" s="4" t="s">
        <v>33</v>
      </c>
      <c r="M8" s="6"/>
      <c r="N8" s="6"/>
      <c r="O8" s="7"/>
      <c r="P8" s="7"/>
      <c r="Q8" s="4"/>
      <c r="R8" s="4" t="s">
        <v>33</v>
      </c>
      <c r="S8" s="5" t="s">
        <v>64</v>
      </c>
      <c r="T8" s="4" t="s">
        <v>35</v>
      </c>
      <c r="U8" s="5" t="s">
        <v>65</v>
      </c>
    </row>
    <row r="9" customFormat="false" ht="22.35" hidden="false" customHeight="false" outlineLevel="0" collapsed="false">
      <c r="A9" s="4" t="n">
        <v>5</v>
      </c>
      <c r="B9" s="4" t="s">
        <v>66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73</v>
      </c>
      <c r="J9" s="5" t="s">
        <v>74</v>
      </c>
      <c r="K9" s="5" t="s">
        <v>75</v>
      </c>
      <c r="L9" s="4" t="s">
        <v>76</v>
      </c>
      <c r="M9" s="13" t="n">
        <v>0</v>
      </c>
      <c r="N9" s="13" t="n">
        <v>0</v>
      </c>
      <c r="O9" s="7" t="n">
        <f aca="false">M9/'Assumptions &amp; Legend'!$B$3</f>
        <v>0</v>
      </c>
      <c r="P9" s="7" t="n">
        <f aca="false">N9/'Assumptions &amp; Legend'!$B$3</f>
        <v>0</v>
      </c>
      <c r="Q9" s="4"/>
      <c r="R9" s="4"/>
      <c r="S9" s="5" t="s">
        <v>77</v>
      </c>
      <c r="T9" s="4" t="s">
        <v>35</v>
      </c>
      <c r="U9" s="5"/>
    </row>
    <row r="10" customFormat="false" ht="22.35" hidden="false" customHeight="false" outlineLevel="0" collapsed="false">
      <c r="A10" s="4" t="n">
        <v>6</v>
      </c>
      <c r="B10" s="4" t="s">
        <v>78</v>
      </c>
      <c r="C10" s="5" t="s">
        <v>79</v>
      </c>
      <c r="D10" s="5" t="s">
        <v>68</v>
      </c>
      <c r="E10" s="5" t="s">
        <v>69</v>
      </c>
      <c r="F10" s="5" t="s">
        <v>80</v>
      </c>
      <c r="G10" s="5" t="s">
        <v>81</v>
      </c>
      <c r="H10" s="5" t="s">
        <v>82</v>
      </c>
      <c r="I10" s="5" t="s">
        <v>83</v>
      </c>
      <c r="J10" s="5" t="s">
        <v>84</v>
      </c>
      <c r="K10" s="5" t="s">
        <v>85</v>
      </c>
      <c r="L10" s="4" t="s">
        <v>86</v>
      </c>
      <c r="M10" s="13" t="n">
        <v>2</v>
      </c>
      <c r="N10" s="13" t="n">
        <v>3</v>
      </c>
      <c r="O10" s="7" t="n">
        <f aca="false">M10/'Assumptions &amp; Legend'!$B$3</f>
        <v>0.25</v>
      </c>
      <c r="P10" s="7" t="n">
        <f aca="false">N10/'Assumptions &amp; Legend'!$B$3</f>
        <v>0.375</v>
      </c>
      <c r="Q10" s="4"/>
      <c r="R10" s="4"/>
      <c r="S10" s="5" t="s">
        <v>87</v>
      </c>
      <c r="T10" s="4" t="s">
        <v>35</v>
      </c>
      <c r="U10" s="5" t="s">
        <v>88</v>
      </c>
    </row>
    <row r="11" customFormat="false" ht="22.35" hidden="false" customHeight="false" outlineLevel="0" collapsed="false">
      <c r="A11" s="4" t="n">
        <v>7</v>
      </c>
      <c r="B11" s="4" t="s">
        <v>89</v>
      </c>
      <c r="C11" s="5" t="s">
        <v>90</v>
      </c>
      <c r="D11" s="5" t="s">
        <v>68</v>
      </c>
      <c r="E11" s="5" t="s">
        <v>69</v>
      </c>
      <c r="F11" s="5" t="s">
        <v>91</v>
      </c>
      <c r="G11" s="5" t="s">
        <v>92</v>
      </c>
      <c r="H11" s="5" t="s">
        <v>83</v>
      </c>
      <c r="I11" s="5" t="s">
        <v>93</v>
      </c>
      <c r="J11" s="5" t="s">
        <v>94</v>
      </c>
      <c r="K11" s="5" t="s">
        <v>95</v>
      </c>
      <c r="L11" s="4" t="s">
        <v>96</v>
      </c>
      <c r="M11" s="13" t="n">
        <v>0.5</v>
      </c>
      <c r="N11" s="13" t="n">
        <v>1</v>
      </c>
      <c r="O11" s="7" t="n">
        <f aca="false">M11/'Assumptions &amp; Legend'!$B$3</f>
        <v>0.0625</v>
      </c>
      <c r="P11" s="7" t="n">
        <f aca="false">N11/'Assumptions &amp; Legend'!$B$3</f>
        <v>0.125</v>
      </c>
      <c r="Q11" s="4"/>
      <c r="R11" s="4"/>
      <c r="S11" s="5" t="s">
        <v>97</v>
      </c>
      <c r="T11" s="4" t="s">
        <v>35</v>
      </c>
      <c r="U11" s="5" t="s">
        <v>98</v>
      </c>
    </row>
    <row r="12" customFormat="false" ht="15" hidden="false" customHeight="false" outlineLevel="0" collapsed="false">
      <c r="A12" s="4" t="n">
        <v>8</v>
      </c>
      <c r="B12" s="4" t="s">
        <v>99</v>
      </c>
      <c r="C12" s="5" t="s">
        <v>100</v>
      </c>
      <c r="D12" s="5" t="s">
        <v>68</v>
      </c>
      <c r="E12" s="5" t="s">
        <v>69</v>
      </c>
      <c r="F12" s="5" t="s">
        <v>101</v>
      </c>
      <c r="G12" s="5" t="s">
        <v>81</v>
      </c>
      <c r="H12" s="5" t="s">
        <v>102</v>
      </c>
      <c r="I12" s="5" t="s">
        <v>83</v>
      </c>
      <c r="J12" s="5" t="s">
        <v>103</v>
      </c>
      <c r="K12" s="5" t="s">
        <v>85</v>
      </c>
      <c r="L12" s="4" t="s">
        <v>104</v>
      </c>
      <c r="M12" s="13" t="n">
        <v>3</v>
      </c>
      <c r="N12" s="13" t="n">
        <v>4</v>
      </c>
      <c r="O12" s="7" t="n">
        <f aca="false">M12/'Assumptions &amp; Legend'!$B$3</f>
        <v>0.375</v>
      </c>
      <c r="P12" s="7" t="n">
        <f aca="false">N12/'Assumptions &amp; Legend'!$B$3</f>
        <v>0.5</v>
      </c>
      <c r="Q12" s="4"/>
      <c r="R12" s="4"/>
      <c r="S12" s="5" t="s">
        <v>87</v>
      </c>
      <c r="T12" s="4" t="s">
        <v>35</v>
      </c>
      <c r="U12" s="5"/>
    </row>
    <row r="13" customFormat="false" ht="15" hidden="false" customHeight="false" outlineLevel="0" collapsed="false">
      <c r="A13" s="4" t="n">
        <v>9</v>
      </c>
      <c r="B13" s="4" t="s">
        <v>105</v>
      </c>
      <c r="C13" s="5" t="s">
        <v>106</v>
      </c>
      <c r="D13" s="5" t="s">
        <v>68</v>
      </c>
      <c r="E13" s="5" t="s">
        <v>69</v>
      </c>
      <c r="F13" s="5" t="s">
        <v>107</v>
      </c>
      <c r="G13" s="5" t="s">
        <v>81</v>
      </c>
      <c r="H13" s="5" t="s">
        <v>83</v>
      </c>
      <c r="I13" s="5" t="s">
        <v>83</v>
      </c>
      <c r="J13" s="5" t="s">
        <v>108</v>
      </c>
      <c r="K13" s="5" t="s">
        <v>85</v>
      </c>
      <c r="L13" s="4" t="s">
        <v>104</v>
      </c>
      <c r="M13" s="13" t="n">
        <v>3</v>
      </c>
      <c r="N13" s="13" t="n">
        <v>4</v>
      </c>
      <c r="O13" s="7" t="n">
        <f aca="false">M13/'Assumptions &amp; Legend'!$B$3</f>
        <v>0.375</v>
      </c>
      <c r="P13" s="7" t="n">
        <f aca="false">N13/'Assumptions &amp; Legend'!$B$3</f>
        <v>0.5</v>
      </c>
      <c r="Q13" s="4"/>
      <c r="R13" s="4"/>
      <c r="S13" s="5" t="s">
        <v>87</v>
      </c>
      <c r="T13" s="4" t="s">
        <v>35</v>
      </c>
      <c r="U13" s="5"/>
    </row>
    <row r="14" customFormat="false" ht="22.35" hidden="false" customHeight="false" outlineLevel="0" collapsed="false">
      <c r="A14" s="4" t="n">
        <v>10</v>
      </c>
      <c r="B14" s="4" t="s">
        <v>109</v>
      </c>
      <c r="C14" s="5" t="s">
        <v>110</v>
      </c>
      <c r="D14" s="5" t="s">
        <v>68</v>
      </c>
      <c r="E14" s="5" t="s">
        <v>69</v>
      </c>
      <c r="F14" s="5" t="s">
        <v>111</v>
      </c>
      <c r="G14" s="5" t="s">
        <v>112</v>
      </c>
      <c r="H14" s="5" t="s">
        <v>83</v>
      </c>
      <c r="I14" s="5" t="s">
        <v>113</v>
      </c>
      <c r="J14" s="5" t="s">
        <v>114</v>
      </c>
      <c r="K14" s="5" t="s">
        <v>85</v>
      </c>
      <c r="L14" s="4" t="s">
        <v>104</v>
      </c>
      <c r="M14" s="13" t="n">
        <v>3</v>
      </c>
      <c r="N14" s="13" t="n">
        <v>4</v>
      </c>
      <c r="O14" s="7" t="n">
        <f aca="false">M14/'Assumptions &amp; Legend'!$B$3</f>
        <v>0.375</v>
      </c>
      <c r="P14" s="7" t="n">
        <f aca="false">N14/'Assumptions &amp; Legend'!$B$3</f>
        <v>0.5</v>
      </c>
      <c r="Q14" s="4"/>
      <c r="R14" s="4"/>
      <c r="S14" s="5" t="s">
        <v>87</v>
      </c>
      <c r="T14" s="4" t="s">
        <v>35</v>
      </c>
      <c r="U14" s="5"/>
    </row>
    <row r="15" customFormat="false" ht="22.35" hidden="false" customHeight="false" outlineLevel="0" collapsed="false">
      <c r="A15" s="4" t="n">
        <v>11</v>
      </c>
      <c r="B15" s="4" t="s">
        <v>115</v>
      </c>
      <c r="C15" s="5" t="s">
        <v>116</v>
      </c>
      <c r="D15" s="5" t="s">
        <v>117</v>
      </c>
      <c r="E15" s="5" t="s">
        <v>69</v>
      </c>
      <c r="F15" s="5" t="s">
        <v>118</v>
      </c>
      <c r="G15" s="5" t="s">
        <v>119</v>
      </c>
      <c r="H15" s="5" t="s">
        <v>120</v>
      </c>
      <c r="I15" s="5" t="s">
        <v>121</v>
      </c>
      <c r="J15" s="5" t="s">
        <v>122</v>
      </c>
      <c r="K15" s="5" t="s">
        <v>123</v>
      </c>
      <c r="L15" s="4" t="s">
        <v>124</v>
      </c>
      <c r="M15" s="6" t="n">
        <f aca="false">1*'Assumptions &amp; Legend'!$B$3</f>
        <v>8</v>
      </c>
      <c r="N15" s="6" t="n">
        <f aca="false">1*'Assumptions &amp; Legend'!$B$3</f>
        <v>8</v>
      </c>
      <c r="O15" s="7" t="n">
        <f aca="false">M15/'Assumptions &amp; Legend'!$B$3</f>
        <v>1</v>
      </c>
      <c r="P15" s="7" t="n">
        <f aca="false">N15/'Assumptions &amp; Legend'!$B$3</f>
        <v>1</v>
      </c>
      <c r="Q15" s="4"/>
      <c r="R15" s="4"/>
      <c r="S15" s="5" t="s">
        <v>97</v>
      </c>
      <c r="T15" s="4" t="s">
        <v>35</v>
      </c>
      <c r="U15" s="5"/>
    </row>
    <row r="16" customFormat="false" ht="22.35" hidden="false" customHeight="false" outlineLevel="0" collapsed="false">
      <c r="A16" s="4" t="n">
        <v>12</v>
      </c>
      <c r="B16" s="4" t="s">
        <v>125</v>
      </c>
      <c r="C16" s="5" t="s">
        <v>126</v>
      </c>
      <c r="D16" s="5" t="s">
        <v>117</v>
      </c>
      <c r="E16" s="5" t="s">
        <v>69</v>
      </c>
      <c r="F16" s="5" t="s">
        <v>118</v>
      </c>
      <c r="G16" s="5" t="s">
        <v>127</v>
      </c>
      <c r="H16" s="5" t="s">
        <v>128</v>
      </c>
      <c r="I16" s="5" t="s">
        <v>129</v>
      </c>
      <c r="J16" s="5" t="s">
        <v>130</v>
      </c>
      <c r="K16" s="5" t="s">
        <v>85</v>
      </c>
      <c r="L16" s="4" t="s">
        <v>124</v>
      </c>
      <c r="M16" s="6" t="n">
        <f aca="false">1*'Assumptions &amp; Legend'!$B$3</f>
        <v>8</v>
      </c>
      <c r="N16" s="6" t="n">
        <f aca="false">1*'Assumptions &amp; Legend'!$B$3</f>
        <v>8</v>
      </c>
      <c r="O16" s="7" t="n">
        <f aca="false">M16/'Assumptions &amp; Legend'!$B$3</f>
        <v>1</v>
      </c>
      <c r="P16" s="7" t="n">
        <f aca="false">N16/'Assumptions &amp; Legend'!$B$3</f>
        <v>1</v>
      </c>
      <c r="Q16" s="4"/>
      <c r="R16" s="4"/>
      <c r="S16" s="5" t="s">
        <v>131</v>
      </c>
      <c r="T16" s="4" t="s">
        <v>35</v>
      </c>
      <c r="U16" s="5" t="s">
        <v>132</v>
      </c>
    </row>
    <row r="17" customFormat="false" ht="22.35" hidden="false" customHeight="false" outlineLevel="0" collapsed="false">
      <c r="A17" s="4" t="n">
        <v>13</v>
      </c>
      <c r="B17" s="4" t="s">
        <v>133</v>
      </c>
      <c r="C17" s="5" t="s">
        <v>134</v>
      </c>
      <c r="D17" s="5" t="s">
        <v>117</v>
      </c>
      <c r="E17" s="5" t="s">
        <v>69</v>
      </c>
      <c r="F17" s="5" t="s">
        <v>118</v>
      </c>
      <c r="G17" s="5" t="s">
        <v>135</v>
      </c>
      <c r="H17" s="5" t="s">
        <v>129</v>
      </c>
      <c r="I17" s="5" t="s">
        <v>136</v>
      </c>
      <c r="J17" s="5" t="s">
        <v>137</v>
      </c>
      <c r="K17" s="5" t="s">
        <v>85</v>
      </c>
      <c r="L17" s="4" t="s">
        <v>33</v>
      </c>
      <c r="M17" s="6"/>
      <c r="N17" s="6"/>
      <c r="O17" s="7"/>
      <c r="P17" s="7"/>
      <c r="Q17" s="4"/>
      <c r="R17" s="4"/>
      <c r="S17" s="5" t="s">
        <v>138</v>
      </c>
      <c r="T17" s="4" t="s">
        <v>35</v>
      </c>
      <c r="U17" s="5" t="s">
        <v>139</v>
      </c>
    </row>
    <row r="18" customFormat="false" ht="22.35" hidden="false" customHeight="false" outlineLevel="0" collapsed="false">
      <c r="A18" s="14" t="n">
        <v>14</v>
      </c>
      <c r="B18" s="14" t="s">
        <v>140</v>
      </c>
      <c r="C18" s="15" t="s">
        <v>141</v>
      </c>
      <c r="D18" s="15" t="s">
        <v>142</v>
      </c>
      <c r="E18" s="15" t="s">
        <v>69</v>
      </c>
      <c r="F18" s="15" t="s">
        <v>118</v>
      </c>
      <c r="G18" s="15" t="s">
        <v>143</v>
      </c>
      <c r="H18" s="15" t="s">
        <v>144</v>
      </c>
      <c r="I18" s="15" t="s">
        <v>145</v>
      </c>
      <c r="J18" s="15" t="s">
        <v>146</v>
      </c>
      <c r="K18" s="15" t="s">
        <v>147</v>
      </c>
      <c r="L18" s="14" t="s">
        <v>76</v>
      </c>
      <c r="M18" s="16" t="n">
        <v>0</v>
      </c>
      <c r="N18" s="16" t="n">
        <v>0</v>
      </c>
      <c r="O18" s="17" t="n">
        <f aca="false">M18/'Assumptions &amp; Legend'!$B$3</f>
        <v>0</v>
      </c>
      <c r="P18" s="17" t="n">
        <f aca="false">N18/'Assumptions &amp; Legend'!$B$3</f>
        <v>0</v>
      </c>
      <c r="Q18" s="14"/>
      <c r="R18" s="14"/>
      <c r="S18" s="15" t="s">
        <v>148</v>
      </c>
      <c r="T18" s="14" t="s">
        <v>35</v>
      </c>
      <c r="U18" s="15" t="s">
        <v>149</v>
      </c>
    </row>
    <row r="19" customFormat="false" ht="22.35" hidden="false" customHeight="false" outlineLevel="0" collapsed="false">
      <c r="A19" s="8" t="n">
        <v>15</v>
      </c>
      <c r="B19" s="8" t="s">
        <v>150</v>
      </c>
      <c r="C19" s="9" t="s">
        <v>151</v>
      </c>
      <c r="D19" s="9" t="s">
        <v>142</v>
      </c>
      <c r="E19" s="9" t="s">
        <v>26</v>
      </c>
      <c r="F19" s="9" t="s">
        <v>27</v>
      </c>
      <c r="G19" s="9" t="s">
        <v>152</v>
      </c>
      <c r="H19" s="9" t="s">
        <v>153</v>
      </c>
      <c r="I19" s="9" t="s">
        <v>154</v>
      </c>
      <c r="J19" s="9" t="s">
        <v>155</v>
      </c>
      <c r="K19" s="9" t="s">
        <v>55</v>
      </c>
      <c r="L19" s="8" t="s">
        <v>33</v>
      </c>
      <c r="M19" s="10"/>
      <c r="N19" s="10"/>
      <c r="O19" s="11"/>
      <c r="P19" s="11"/>
      <c r="Q19" s="8"/>
      <c r="R19" s="8" t="s">
        <v>33</v>
      </c>
      <c r="S19" s="9" t="s">
        <v>156</v>
      </c>
      <c r="T19" s="8" t="s">
        <v>47</v>
      </c>
      <c r="U19" s="9" t="s">
        <v>157</v>
      </c>
    </row>
    <row r="20" customFormat="false" ht="22.35" hidden="false" customHeight="false" outlineLevel="0" collapsed="false">
      <c r="A20" s="14" t="n">
        <v>16</v>
      </c>
      <c r="B20" s="14" t="s">
        <v>158</v>
      </c>
      <c r="C20" s="15" t="s">
        <v>159</v>
      </c>
      <c r="D20" s="15" t="s">
        <v>142</v>
      </c>
      <c r="E20" s="15" t="s">
        <v>39</v>
      </c>
      <c r="F20" s="15" t="s">
        <v>40</v>
      </c>
      <c r="G20" s="15" t="s">
        <v>160</v>
      </c>
      <c r="H20" s="15" t="s">
        <v>161</v>
      </c>
      <c r="I20" s="15" t="s">
        <v>162</v>
      </c>
      <c r="J20" s="15" t="s">
        <v>163</v>
      </c>
      <c r="K20" s="15" t="s">
        <v>45</v>
      </c>
      <c r="L20" s="14" t="s">
        <v>33</v>
      </c>
      <c r="M20" s="18"/>
      <c r="N20" s="18"/>
      <c r="O20" s="17"/>
      <c r="P20" s="17"/>
      <c r="Q20" s="19" t="n">
        <v>1</v>
      </c>
      <c r="R20" s="14" t="s">
        <v>33</v>
      </c>
      <c r="S20" s="15" t="s">
        <v>164</v>
      </c>
      <c r="T20" s="14" t="s">
        <v>35</v>
      </c>
      <c r="U20" s="15" t="s">
        <v>165</v>
      </c>
    </row>
    <row r="21" customFormat="false" ht="22.35" hidden="false" customHeight="false" outlineLevel="0" collapsed="false">
      <c r="A21" s="4" t="n">
        <v>17</v>
      </c>
      <c r="B21" s="4" t="s">
        <v>166</v>
      </c>
      <c r="C21" s="5" t="s">
        <v>167</v>
      </c>
      <c r="D21" s="5" t="s">
        <v>168</v>
      </c>
      <c r="E21" s="5" t="s">
        <v>69</v>
      </c>
      <c r="F21" s="5" t="s">
        <v>169</v>
      </c>
      <c r="G21" s="5" t="s">
        <v>170</v>
      </c>
      <c r="H21" s="5" t="s">
        <v>171</v>
      </c>
      <c r="I21" s="5" t="s">
        <v>172</v>
      </c>
      <c r="J21" s="5" t="s">
        <v>173</v>
      </c>
      <c r="K21" s="5" t="s">
        <v>85</v>
      </c>
      <c r="L21" s="4" t="s">
        <v>33</v>
      </c>
      <c r="M21" s="6"/>
      <c r="N21" s="6"/>
      <c r="O21" s="7"/>
      <c r="P21" s="7"/>
      <c r="Q21" s="4"/>
      <c r="R21" s="4"/>
      <c r="S21" s="5" t="s">
        <v>174</v>
      </c>
      <c r="T21" s="4" t="s">
        <v>35</v>
      </c>
      <c r="U21" s="5" t="s">
        <v>175</v>
      </c>
    </row>
    <row r="22" customFormat="false" ht="15" hidden="false" customHeight="false" outlineLevel="0" collapsed="false">
      <c r="A22" s="4" t="n">
        <v>18</v>
      </c>
      <c r="B22" s="4" t="s">
        <v>176</v>
      </c>
      <c r="C22" s="5" t="s">
        <v>177</v>
      </c>
      <c r="D22" s="5" t="s">
        <v>168</v>
      </c>
      <c r="E22" s="5" t="s">
        <v>69</v>
      </c>
      <c r="F22" s="5" t="s">
        <v>107</v>
      </c>
      <c r="G22" s="5" t="s">
        <v>178</v>
      </c>
      <c r="H22" s="5" t="s">
        <v>179</v>
      </c>
      <c r="I22" s="5" t="s">
        <v>174</v>
      </c>
      <c r="J22" s="5" t="s">
        <v>180</v>
      </c>
      <c r="K22" s="5" t="s">
        <v>85</v>
      </c>
      <c r="L22" s="4" t="s">
        <v>86</v>
      </c>
      <c r="M22" s="13" t="n">
        <v>2</v>
      </c>
      <c r="N22" s="13" t="n">
        <v>3</v>
      </c>
      <c r="O22" s="7" t="n">
        <f aca="false">M22/'Assumptions &amp; Legend'!$B$3</f>
        <v>0.25</v>
      </c>
      <c r="P22" s="7" t="n">
        <f aca="false">N22/'Assumptions &amp; Legend'!$B$3</f>
        <v>0.375</v>
      </c>
      <c r="Q22" s="4"/>
      <c r="R22" s="4"/>
      <c r="S22" s="5" t="s">
        <v>174</v>
      </c>
      <c r="T22" s="4" t="s">
        <v>35</v>
      </c>
      <c r="U22" s="5" t="s">
        <v>181</v>
      </c>
    </row>
    <row r="23" customFormat="false" ht="15" hidden="false" customHeight="false" outlineLevel="0" collapsed="false">
      <c r="A23" s="4" t="n">
        <v>19</v>
      </c>
      <c r="B23" s="4" t="s">
        <v>182</v>
      </c>
      <c r="C23" s="5" t="s">
        <v>183</v>
      </c>
      <c r="D23" s="5" t="s">
        <v>168</v>
      </c>
      <c r="E23" s="5" t="s">
        <v>69</v>
      </c>
      <c r="F23" s="5" t="s">
        <v>101</v>
      </c>
      <c r="G23" s="5" t="s">
        <v>184</v>
      </c>
      <c r="H23" s="5" t="s">
        <v>185</v>
      </c>
      <c r="I23" s="5" t="s">
        <v>186</v>
      </c>
      <c r="J23" s="5" t="s">
        <v>187</v>
      </c>
      <c r="K23" s="5" t="s">
        <v>85</v>
      </c>
      <c r="L23" s="4" t="s">
        <v>86</v>
      </c>
      <c r="M23" s="13" t="n">
        <v>2</v>
      </c>
      <c r="N23" s="13" t="n">
        <v>3</v>
      </c>
      <c r="O23" s="7" t="n">
        <f aca="false">M23/'Assumptions &amp; Legend'!$B$3</f>
        <v>0.25</v>
      </c>
      <c r="P23" s="7" t="n">
        <f aca="false">N23/'Assumptions &amp; Legend'!$B$3</f>
        <v>0.375</v>
      </c>
      <c r="Q23" s="4"/>
      <c r="R23" s="4"/>
      <c r="S23" s="5" t="s">
        <v>174</v>
      </c>
      <c r="T23" s="4" t="s">
        <v>35</v>
      </c>
      <c r="U23" s="5"/>
    </row>
    <row r="24" customFormat="false" ht="15" hidden="false" customHeight="false" outlineLevel="0" collapsed="false">
      <c r="A24" s="4" t="n">
        <v>20</v>
      </c>
      <c r="B24" s="4" t="s">
        <v>188</v>
      </c>
      <c r="C24" s="5" t="s">
        <v>189</v>
      </c>
      <c r="D24" s="5" t="s">
        <v>168</v>
      </c>
      <c r="E24" s="5" t="s">
        <v>69</v>
      </c>
      <c r="F24" s="5" t="s">
        <v>190</v>
      </c>
      <c r="G24" s="5" t="s">
        <v>191</v>
      </c>
      <c r="H24" s="5" t="s">
        <v>192</v>
      </c>
      <c r="I24" s="5" t="s">
        <v>174</v>
      </c>
      <c r="J24" s="5" t="s">
        <v>193</v>
      </c>
      <c r="K24" s="5" t="s">
        <v>85</v>
      </c>
      <c r="L24" s="4" t="s">
        <v>86</v>
      </c>
      <c r="M24" s="13" t="n">
        <v>2</v>
      </c>
      <c r="N24" s="13" t="n">
        <v>3</v>
      </c>
      <c r="O24" s="7" t="n">
        <f aca="false">M24/'Assumptions &amp; Legend'!$B$3</f>
        <v>0.25</v>
      </c>
      <c r="P24" s="7" t="n">
        <f aca="false">N24/'Assumptions &amp; Legend'!$B$3</f>
        <v>0.375</v>
      </c>
      <c r="Q24" s="4"/>
      <c r="R24" s="4"/>
      <c r="S24" s="5" t="s">
        <v>174</v>
      </c>
      <c r="T24" s="4" t="s">
        <v>35</v>
      </c>
      <c r="U24" s="5" t="s">
        <v>194</v>
      </c>
    </row>
    <row r="25" customFormat="false" ht="22.35" hidden="false" customHeight="false" outlineLevel="0" collapsed="false">
      <c r="A25" s="4" t="n">
        <v>21</v>
      </c>
      <c r="B25" s="4" t="s">
        <v>195</v>
      </c>
      <c r="C25" s="5" t="s">
        <v>196</v>
      </c>
      <c r="D25" s="5" t="s">
        <v>168</v>
      </c>
      <c r="E25" s="5" t="s">
        <v>69</v>
      </c>
      <c r="F25" s="5" t="s">
        <v>80</v>
      </c>
      <c r="G25" s="5" t="s">
        <v>197</v>
      </c>
      <c r="H25" s="5" t="s">
        <v>192</v>
      </c>
      <c r="I25" s="5" t="s">
        <v>198</v>
      </c>
      <c r="J25" s="5" t="s">
        <v>199</v>
      </c>
      <c r="K25" s="5" t="s">
        <v>85</v>
      </c>
      <c r="L25" s="4" t="s">
        <v>86</v>
      </c>
      <c r="M25" s="13" t="n">
        <v>2</v>
      </c>
      <c r="N25" s="13" t="n">
        <v>3</v>
      </c>
      <c r="O25" s="7" t="n">
        <f aca="false">M25/'Assumptions &amp; Legend'!$B$3</f>
        <v>0.25</v>
      </c>
      <c r="P25" s="7" t="n">
        <f aca="false">N25/'Assumptions &amp; Legend'!$B$3</f>
        <v>0.375</v>
      </c>
      <c r="Q25" s="4"/>
      <c r="R25" s="4"/>
      <c r="S25" s="5" t="s">
        <v>174</v>
      </c>
      <c r="T25" s="4" t="s">
        <v>35</v>
      </c>
      <c r="U25" s="5" t="s">
        <v>200</v>
      </c>
    </row>
    <row r="26" customFormat="false" ht="15" hidden="false" customHeight="false" outlineLevel="0" collapsed="false">
      <c r="A26" s="4" t="n">
        <v>22</v>
      </c>
      <c r="B26" s="4" t="s">
        <v>201</v>
      </c>
      <c r="C26" s="5" t="s">
        <v>202</v>
      </c>
      <c r="D26" s="5" t="s">
        <v>203</v>
      </c>
      <c r="E26" s="5" t="s">
        <v>69</v>
      </c>
      <c r="F26" s="5" t="s">
        <v>101</v>
      </c>
      <c r="G26" s="5" t="s">
        <v>204</v>
      </c>
      <c r="H26" s="5" t="s">
        <v>205</v>
      </c>
      <c r="I26" s="5" t="s">
        <v>206</v>
      </c>
      <c r="J26" s="5" t="s">
        <v>207</v>
      </c>
      <c r="K26" s="5" t="s">
        <v>85</v>
      </c>
      <c r="L26" s="4" t="s">
        <v>96</v>
      </c>
      <c r="M26" s="13" t="n">
        <v>0.5</v>
      </c>
      <c r="N26" s="13" t="n">
        <v>1</v>
      </c>
      <c r="O26" s="7" t="n">
        <f aca="false">M26/'Assumptions &amp; Legend'!$B$3</f>
        <v>0.0625</v>
      </c>
      <c r="P26" s="7" t="n">
        <f aca="false">N26/'Assumptions &amp; Legend'!$B$3</f>
        <v>0.125</v>
      </c>
      <c r="Q26" s="4"/>
      <c r="R26" s="4"/>
      <c r="S26" s="5" t="s">
        <v>87</v>
      </c>
      <c r="T26" s="4" t="s">
        <v>35</v>
      </c>
      <c r="U26" s="5"/>
    </row>
    <row r="27" customFormat="false" ht="15" hidden="false" customHeight="false" outlineLevel="0" collapsed="false">
      <c r="A27" s="4" t="n">
        <v>23</v>
      </c>
      <c r="B27" s="4" t="s">
        <v>208</v>
      </c>
      <c r="C27" s="5" t="s">
        <v>209</v>
      </c>
      <c r="D27" s="5" t="s">
        <v>203</v>
      </c>
      <c r="E27" s="5" t="s">
        <v>69</v>
      </c>
      <c r="F27" s="5" t="s">
        <v>107</v>
      </c>
      <c r="G27" s="5" t="s">
        <v>204</v>
      </c>
      <c r="H27" s="5" t="s">
        <v>205</v>
      </c>
      <c r="I27" s="5" t="s">
        <v>206</v>
      </c>
      <c r="J27" s="5" t="s">
        <v>210</v>
      </c>
      <c r="K27" s="5" t="s">
        <v>85</v>
      </c>
      <c r="L27" s="4" t="s">
        <v>96</v>
      </c>
      <c r="M27" s="13" t="n">
        <v>0.5</v>
      </c>
      <c r="N27" s="13" t="n">
        <v>1</v>
      </c>
      <c r="O27" s="7" t="n">
        <f aca="false">M27/'Assumptions &amp; Legend'!$B$3</f>
        <v>0.0625</v>
      </c>
      <c r="P27" s="7" t="n">
        <f aca="false">N27/'Assumptions &amp; Legend'!$B$3</f>
        <v>0.125</v>
      </c>
      <c r="Q27" s="4"/>
      <c r="R27" s="4"/>
      <c r="S27" s="5" t="s">
        <v>87</v>
      </c>
      <c r="T27" s="4" t="s">
        <v>35</v>
      </c>
      <c r="U27" s="5"/>
    </row>
    <row r="28" customFormat="false" ht="22.35" hidden="false" customHeight="false" outlineLevel="0" collapsed="false">
      <c r="A28" s="4" t="n">
        <v>24</v>
      </c>
      <c r="B28" s="4" t="s">
        <v>211</v>
      </c>
      <c r="C28" s="5" t="s">
        <v>212</v>
      </c>
      <c r="D28" s="5" t="s">
        <v>203</v>
      </c>
      <c r="E28" s="5" t="s">
        <v>69</v>
      </c>
      <c r="F28" s="5" t="s">
        <v>111</v>
      </c>
      <c r="G28" s="5" t="s">
        <v>213</v>
      </c>
      <c r="H28" s="5" t="s">
        <v>205</v>
      </c>
      <c r="I28" s="5" t="s">
        <v>214</v>
      </c>
      <c r="J28" s="5" t="s">
        <v>215</v>
      </c>
      <c r="K28" s="5" t="s">
        <v>85</v>
      </c>
      <c r="L28" s="4" t="s">
        <v>86</v>
      </c>
      <c r="M28" s="13" t="n">
        <v>2</v>
      </c>
      <c r="N28" s="13" t="n">
        <v>3</v>
      </c>
      <c r="O28" s="7" t="n">
        <f aca="false">M28/'Assumptions &amp; Legend'!$B$3</f>
        <v>0.25</v>
      </c>
      <c r="P28" s="7" t="n">
        <f aca="false">N28/'Assumptions &amp; Legend'!$B$3</f>
        <v>0.375</v>
      </c>
      <c r="Q28" s="4"/>
      <c r="R28" s="4"/>
      <c r="S28" s="5" t="s">
        <v>87</v>
      </c>
      <c r="T28" s="4" t="s">
        <v>35</v>
      </c>
      <c r="U28" s="5"/>
    </row>
    <row r="29" customFormat="false" ht="22.35" hidden="false" customHeight="false" outlineLevel="0" collapsed="false">
      <c r="A29" s="4" t="n">
        <v>25</v>
      </c>
      <c r="B29" s="4" t="s">
        <v>216</v>
      </c>
      <c r="C29" s="5" t="s">
        <v>217</v>
      </c>
      <c r="D29" s="5" t="s">
        <v>218</v>
      </c>
      <c r="E29" s="5" t="s">
        <v>69</v>
      </c>
      <c r="F29" s="5" t="s">
        <v>219</v>
      </c>
      <c r="G29" s="5" t="s">
        <v>220</v>
      </c>
      <c r="H29" s="5" t="s">
        <v>198</v>
      </c>
      <c r="I29" s="5" t="s">
        <v>221</v>
      </c>
      <c r="J29" s="5" t="s">
        <v>222</v>
      </c>
      <c r="K29" s="5" t="s">
        <v>223</v>
      </c>
      <c r="L29" s="4" t="s">
        <v>124</v>
      </c>
      <c r="M29" s="6" t="n">
        <f aca="false">1*'Assumptions &amp; Legend'!$B$3</f>
        <v>8</v>
      </c>
      <c r="N29" s="6" t="n">
        <f aca="false">1*'Assumptions &amp; Legend'!$B$3</f>
        <v>8</v>
      </c>
      <c r="O29" s="7" t="n">
        <f aca="false">M29/'Assumptions &amp; Legend'!$B$3</f>
        <v>1</v>
      </c>
      <c r="P29" s="7" t="n">
        <f aca="false">N29/'Assumptions &amp; Legend'!$B$3</f>
        <v>1</v>
      </c>
      <c r="Q29" s="4"/>
      <c r="R29" s="4"/>
      <c r="S29" s="5" t="s">
        <v>224</v>
      </c>
      <c r="T29" s="4" t="s">
        <v>35</v>
      </c>
      <c r="U29" s="5" t="s">
        <v>225</v>
      </c>
    </row>
    <row r="30" customFormat="false" ht="22.35" hidden="false" customHeight="false" outlineLevel="0" collapsed="false">
      <c r="A30" s="4" t="n">
        <v>26</v>
      </c>
      <c r="B30" s="4" t="s">
        <v>226</v>
      </c>
      <c r="C30" s="5" t="s">
        <v>227</v>
      </c>
      <c r="D30" s="5" t="s">
        <v>218</v>
      </c>
      <c r="E30" s="5" t="s">
        <v>69</v>
      </c>
      <c r="F30" s="5" t="s">
        <v>118</v>
      </c>
      <c r="G30" s="5" t="s">
        <v>228</v>
      </c>
      <c r="H30" s="5" t="s">
        <v>229</v>
      </c>
      <c r="I30" s="5" t="s">
        <v>230</v>
      </c>
      <c r="J30" s="5" t="s">
        <v>231</v>
      </c>
      <c r="K30" s="5" t="s">
        <v>95</v>
      </c>
      <c r="L30" s="4" t="s">
        <v>232</v>
      </c>
      <c r="M30" s="13" t="n">
        <v>4</v>
      </c>
      <c r="N30" s="13" t="n">
        <v>5</v>
      </c>
      <c r="O30" s="7" t="n">
        <f aca="false">M30/'Assumptions &amp; Legend'!$B$3</f>
        <v>0.5</v>
      </c>
      <c r="P30" s="7" t="n">
        <f aca="false">N30/'Assumptions &amp; Legend'!$B$3</f>
        <v>0.625</v>
      </c>
      <c r="Q30" s="4"/>
      <c r="R30" s="4"/>
      <c r="S30" s="5" t="s">
        <v>97</v>
      </c>
      <c r="T30" s="4" t="s">
        <v>35</v>
      </c>
      <c r="U30" s="5"/>
    </row>
    <row r="31" customFormat="false" ht="22.35" hidden="false" customHeight="false" outlineLevel="0" collapsed="false">
      <c r="A31" s="4" t="n">
        <v>27</v>
      </c>
      <c r="B31" s="4" t="s">
        <v>233</v>
      </c>
      <c r="C31" s="5" t="s">
        <v>234</v>
      </c>
      <c r="D31" s="5" t="s">
        <v>218</v>
      </c>
      <c r="E31" s="5" t="s">
        <v>69</v>
      </c>
      <c r="F31" s="5" t="s">
        <v>235</v>
      </c>
      <c r="G31" s="5" t="s">
        <v>236</v>
      </c>
      <c r="H31" s="5" t="s">
        <v>237</v>
      </c>
      <c r="I31" s="5" t="s">
        <v>238</v>
      </c>
      <c r="J31" s="5" t="s">
        <v>239</v>
      </c>
      <c r="K31" s="5" t="s">
        <v>95</v>
      </c>
      <c r="L31" s="4" t="s">
        <v>96</v>
      </c>
      <c r="M31" s="13" t="n">
        <v>0.5</v>
      </c>
      <c r="N31" s="13" t="n">
        <v>1</v>
      </c>
      <c r="O31" s="7" t="n">
        <f aca="false">M31/'Assumptions &amp; Legend'!$B$3</f>
        <v>0.0625</v>
      </c>
      <c r="P31" s="7" t="n">
        <f aca="false">N31/'Assumptions &amp; Legend'!$B$3</f>
        <v>0.125</v>
      </c>
      <c r="Q31" s="4"/>
      <c r="R31" s="4"/>
      <c r="S31" s="5" t="s">
        <v>240</v>
      </c>
      <c r="T31" s="4" t="s">
        <v>35</v>
      </c>
      <c r="U31" s="5"/>
    </row>
    <row r="32" customFormat="false" ht="22.35" hidden="false" customHeight="false" outlineLevel="0" collapsed="false">
      <c r="A32" s="4" t="n">
        <v>28</v>
      </c>
      <c r="B32" s="4" t="s">
        <v>241</v>
      </c>
      <c r="C32" s="5" t="s">
        <v>242</v>
      </c>
      <c r="D32" s="5" t="s">
        <v>243</v>
      </c>
      <c r="E32" s="5" t="s">
        <v>69</v>
      </c>
      <c r="F32" s="5" t="s">
        <v>118</v>
      </c>
      <c r="G32" s="5" t="s">
        <v>244</v>
      </c>
      <c r="H32" s="5" t="s">
        <v>245</v>
      </c>
      <c r="I32" s="5" t="s">
        <v>246</v>
      </c>
      <c r="J32" s="5" t="s">
        <v>247</v>
      </c>
      <c r="K32" s="5" t="s">
        <v>248</v>
      </c>
      <c r="L32" s="4" t="s">
        <v>124</v>
      </c>
      <c r="M32" s="6" t="n">
        <f aca="false">1*'Assumptions &amp; Legend'!$B$3</f>
        <v>8</v>
      </c>
      <c r="N32" s="6" t="n">
        <f aca="false">1*'Assumptions &amp; Legend'!$B$3</f>
        <v>8</v>
      </c>
      <c r="O32" s="7" t="n">
        <f aca="false">M32/'Assumptions &amp; Legend'!$B$3</f>
        <v>1</v>
      </c>
      <c r="P32" s="7" t="n">
        <f aca="false">N32/'Assumptions &amp; Legend'!$B$3</f>
        <v>1</v>
      </c>
      <c r="Q32" s="4"/>
      <c r="R32" s="4"/>
      <c r="S32" s="5" t="s">
        <v>224</v>
      </c>
      <c r="T32" s="4" t="s">
        <v>35</v>
      </c>
      <c r="U32" s="5" t="s">
        <v>249</v>
      </c>
    </row>
    <row r="33" customFormat="false" ht="22.35" hidden="false" customHeight="false" outlineLevel="0" collapsed="false">
      <c r="A33" s="4" t="n">
        <v>29</v>
      </c>
      <c r="B33" s="4" t="s">
        <v>250</v>
      </c>
      <c r="C33" s="5" t="s">
        <v>251</v>
      </c>
      <c r="D33" s="5" t="s">
        <v>243</v>
      </c>
      <c r="E33" s="5" t="s">
        <v>69</v>
      </c>
      <c r="F33" s="5" t="s">
        <v>111</v>
      </c>
      <c r="G33" s="5" t="s">
        <v>252</v>
      </c>
      <c r="H33" s="5" t="s">
        <v>253</v>
      </c>
      <c r="I33" s="5" t="s">
        <v>254</v>
      </c>
      <c r="J33" s="5" t="s">
        <v>255</v>
      </c>
      <c r="K33" s="5" t="s">
        <v>248</v>
      </c>
      <c r="L33" s="4" t="s">
        <v>232</v>
      </c>
      <c r="M33" s="13" t="n">
        <v>4</v>
      </c>
      <c r="N33" s="13" t="n">
        <v>5</v>
      </c>
      <c r="O33" s="7" t="n">
        <f aca="false">M33/'Assumptions &amp; Legend'!$B$3</f>
        <v>0.5</v>
      </c>
      <c r="P33" s="7" t="n">
        <f aca="false">N33/'Assumptions &amp; Legend'!$B$3</f>
        <v>0.625</v>
      </c>
      <c r="Q33" s="4"/>
      <c r="R33" s="4"/>
      <c r="S33" s="5" t="s">
        <v>240</v>
      </c>
      <c r="T33" s="4" t="s">
        <v>35</v>
      </c>
      <c r="U33" s="5"/>
    </row>
    <row r="34" customFormat="false" ht="22.35" hidden="false" customHeight="false" outlineLevel="0" collapsed="false">
      <c r="A34" s="4" t="n">
        <v>30</v>
      </c>
      <c r="B34" s="4" t="s">
        <v>256</v>
      </c>
      <c r="C34" s="5" t="s">
        <v>257</v>
      </c>
      <c r="D34" s="5" t="s">
        <v>243</v>
      </c>
      <c r="E34" s="5" t="s">
        <v>69</v>
      </c>
      <c r="F34" s="5" t="s">
        <v>258</v>
      </c>
      <c r="G34" s="5" t="s">
        <v>259</v>
      </c>
      <c r="H34" s="5" t="s">
        <v>260</v>
      </c>
      <c r="I34" s="5" t="s">
        <v>261</v>
      </c>
      <c r="J34" s="5" t="s">
        <v>262</v>
      </c>
      <c r="K34" s="5" t="s">
        <v>263</v>
      </c>
      <c r="L34" s="4" t="s">
        <v>124</v>
      </c>
      <c r="M34" s="6" t="n">
        <f aca="false">1*'Assumptions &amp; Legend'!$B$3</f>
        <v>8</v>
      </c>
      <c r="N34" s="6" t="n">
        <f aca="false">1*'Assumptions &amp; Legend'!$B$3</f>
        <v>8</v>
      </c>
      <c r="O34" s="7" t="n">
        <f aca="false">M34/'Assumptions &amp; Legend'!$B$3</f>
        <v>1</v>
      </c>
      <c r="P34" s="7" t="n">
        <f aca="false">N34/'Assumptions &amp; Legend'!$B$3</f>
        <v>1</v>
      </c>
      <c r="Q34" s="4"/>
      <c r="R34" s="4"/>
      <c r="S34" s="5" t="s">
        <v>64</v>
      </c>
      <c r="T34" s="4" t="s">
        <v>35</v>
      </c>
      <c r="U34" s="5" t="s">
        <v>264</v>
      </c>
    </row>
    <row r="35" customFormat="false" ht="15" hidden="false" customHeight="false" outlineLevel="0" collapsed="false">
      <c r="A35" s="4" t="n">
        <v>31</v>
      </c>
      <c r="B35" s="4" t="s">
        <v>265</v>
      </c>
      <c r="C35" s="5" t="s">
        <v>266</v>
      </c>
      <c r="D35" s="5" t="s">
        <v>243</v>
      </c>
      <c r="E35" s="5" t="s">
        <v>69</v>
      </c>
      <c r="F35" s="5" t="s">
        <v>118</v>
      </c>
      <c r="G35" s="5" t="s">
        <v>267</v>
      </c>
      <c r="H35" s="5" t="s">
        <v>268</v>
      </c>
      <c r="I35" s="5" t="s">
        <v>269</v>
      </c>
      <c r="J35" s="5" t="s">
        <v>270</v>
      </c>
      <c r="K35" s="5" t="s">
        <v>85</v>
      </c>
      <c r="L35" s="4" t="s">
        <v>96</v>
      </c>
      <c r="M35" s="13" t="n">
        <v>0.5</v>
      </c>
      <c r="N35" s="13" t="n">
        <v>1</v>
      </c>
      <c r="O35" s="7" t="n">
        <f aca="false">M35/'Assumptions &amp; Legend'!$B$3</f>
        <v>0.0625</v>
      </c>
      <c r="P35" s="7" t="n">
        <f aca="false">N35/'Assumptions &amp; Legend'!$B$3</f>
        <v>0.125</v>
      </c>
      <c r="Q35" s="4"/>
      <c r="R35" s="4"/>
      <c r="S35" s="5" t="s">
        <v>97</v>
      </c>
      <c r="T35" s="4" t="s">
        <v>35</v>
      </c>
      <c r="U35" s="5"/>
    </row>
    <row r="36" customFormat="false" ht="22.35" hidden="false" customHeight="false" outlineLevel="0" collapsed="false">
      <c r="A36" s="4" t="n">
        <v>32</v>
      </c>
      <c r="B36" s="4" t="s">
        <v>271</v>
      </c>
      <c r="C36" s="5" t="s">
        <v>272</v>
      </c>
      <c r="D36" s="5" t="s">
        <v>243</v>
      </c>
      <c r="E36" s="5" t="s">
        <v>39</v>
      </c>
      <c r="F36" s="5" t="s">
        <v>40</v>
      </c>
      <c r="G36" s="5" t="s">
        <v>273</v>
      </c>
      <c r="H36" s="5" t="s">
        <v>274</v>
      </c>
      <c r="I36" s="5" t="s">
        <v>275</v>
      </c>
      <c r="J36" s="5" t="s">
        <v>276</v>
      </c>
      <c r="K36" s="5" t="s">
        <v>277</v>
      </c>
      <c r="L36" s="4" t="s">
        <v>33</v>
      </c>
      <c r="M36" s="6"/>
      <c r="N36" s="6"/>
      <c r="O36" s="7"/>
      <c r="P36" s="7"/>
      <c r="Q36" s="20" t="n">
        <v>1</v>
      </c>
      <c r="R36" s="4" t="s">
        <v>33</v>
      </c>
      <c r="S36" s="5" t="s">
        <v>278</v>
      </c>
      <c r="T36" s="4" t="s">
        <v>35</v>
      </c>
      <c r="U36" s="5" t="s">
        <v>279</v>
      </c>
    </row>
    <row r="37" customFormat="false" ht="22.35" hidden="false" customHeight="false" outlineLevel="0" collapsed="false">
      <c r="A37" s="4" t="n">
        <v>33</v>
      </c>
      <c r="B37" s="4" t="s">
        <v>280</v>
      </c>
      <c r="C37" s="5" t="s">
        <v>281</v>
      </c>
      <c r="D37" s="5" t="s">
        <v>282</v>
      </c>
      <c r="E37" s="5" t="s">
        <v>69</v>
      </c>
      <c r="F37" s="5" t="s">
        <v>118</v>
      </c>
      <c r="G37" s="5" t="s">
        <v>283</v>
      </c>
      <c r="H37" s="5" t="s">
        <v>284</v>
      </c>
      <c r="I37" s="5" t="s">
        <v>285</v>
      </c>
      <c r="J37" s="5" t="s">
        <v>286</v>
      </c>
      <c r="K37" s="5" t="s">
        <v>287</v>
      </c>
      <c r="L37" s="4" t="s">
        <v>124</v>
      </c>
      <c r="M37" s="6" t="n">
        <f aca="false">1*'Assumptions &amp; Legend'!$B$3</f>
        <v>8</v>
      </c>
      <c r="N37" s="6" t="n">
        <f aca="false">1*'Assumptions &amp; Legend'!$B$3</f>
        <v>8</v>
      </c>
      <c r="O37" s="7" t="n">
        <f aca="false">M37/'Assumptions &amp; Legend'!$B$3</f>
        <v>1</v>
      </c>
      <c r="P37" s="7" t="n">
        <f aca="false">N37/'Assumptions &amp; Legend'!$B$3</f>
        <v>1</v>
      </c>
      <c r="Q37" s="4"/>
      <c r="R37" s="4"/>
      <c r="S37" s="5" t="s">
        <v>224</v>
      </c>
      <c r="T37" s="4" t="s">
        <v>35</v>
      </c>
      <c r="U37" s="5" t="s">
        <v>288</v>
      </c>
    </row>
    <row r="38" customFormat="false" ht="22.35" hidden="false" customHeight="false" outlineLevel="0" collapsed="false">
      <c r="A38" s="4" t="n">
        <v>34</v>
      </c>
      <c r="B38" s="4" t="s">
        <v>289</v>
      </c>
      <c r="C38" s="5" t="s">
        <v>290</v>
      </c>
      <c r="D38" s="5" t="s">
        <v>282</v>
      </c>
      <c r="E38" s="5" t="s">
        <v>69</v>
      </c>
      <c r="F38" s="5" t="s">
        <v>111</v>
      </c>
      <c r="G38" s="5" t="s">
        <v>291</v>
      </c>
      <c r="H38" s="5" t="s">
        <v>285</v>
      </c>
      <c r="I38" s="5" t="s">
        <v>292</v>
      </c>
      <c r="J38" s="5" t="s">
        <v>293</v>
      </c>
      <c r="K38" s="5" t="s">
        <v>85</v>
      </c>
      <c r="L38" s="4" t="s">
        <v>294</v>
      </c>
      <c r="M38" s="13" t="n">
        <v>5</v>
      </c>
      <c r="N38" s="13" t="n">
        <v>6</v>
      </c>
      <c r="O38" s="7" t="n">
        <f aca="false">M38/'Assumptions &amp; Legend'!$B$3</f>
        <v>0.625</v>
      </c>
      <c r="P38" s="7" t="n">
        <f aca="false">N38/'Assumptions &amp; Legend'!$B$3</f>
        <v>0.75</v>
      </c>
      <c r="Q38" s="4"/>
      <c r="R38" s="4"/>
      <c r="S38" s="5" t="s">
        <v>240</v>
      </c>
      <c r="T38" s="4" t="s">
        <v>35</v>
      </c>
      <c r="U38" s="5"/>
    </row>
    <row r="39" customFormat="false" ht="15" hidden="false" customHeight="false" outlineLevel="0" collapsed="false">
      <c r="A39" s="4" t="n">
        <v>35</v>
      </c>
      <c r="B39" s="4" t="s">
        <v>295</v>
      </c>
      <c r="C39" s="5" t="s">
        <v>296</v>
      </c>
      <c r="D39" s="5" t="s">
        <v>282</v>
      </c>
      <c r="E39" s="5" t="s">
        <v>69</v>
      </c>
      <c r="F39" s="5" t="s">
        <v>107</v>
      </c>
      <c r="G39" s="5" t="s">
        <v>297</v>
      </c>
      <c r="H39" s="5" t="s">
        <v>292</v>
      </c>
      <c r="I39" s="5" t="s">
        <v>298</v>
      </c>
      <c r="J39" s="5" t="s">
        <v>299</v>
      </c>
      <c r="K39" s="5" t="s">
        <v>75</v>
      </c>
      <c r="L39" s="4" t="s">
        <v>86</v>
      </c>
      <c r="M39" s="13" t="n">
        <v>2</v>
      </c>
      <c r="N39" s="13" t="n">
        <v>3</v>
      </c>
      <c r="O39" s="7" t="n">
        <f aca="false">M39/'Assumptions &amp; Legend'!$B$3</f>
        <v>0.25</v>
      </c>
      <c r="P39" s="7" t="n">
        <f aca="false">N39/'Assumptions &amp; Legend'!$B$3</f>
        <v>0.375</v>
      </c>
      <c r="Q39" s="4"/>
      <c r="R39" s="4"/>
      <c r="S39" s="5" t="s">
        <v>240</v>
      </c>
      <c r="T39" s="4" t="s">
        <v>35</v>
      </c>
      <c r="U39" s="5"/>
    </row>
    <row r="40" customFormat="false" ht="22.35" hidden="false" customHeight="false" outlineLevel="0" collapsed="false">
      <c r="A40" s="4" t="n">
        <v>36</v>
      </c>
      <c r="B40" s="4" t="s">
        <v>300</v>
      </c>
      <c r="C40" s="5" t="s">
        <v>301</v>
      </c>
      <c r="D40" s="5" t="s">
        <v>282</v>
      </c>
      <c r="E40" s="5" t="s">
        <v>69</v>
      </c>
      <c r="F40" s="5" t="s">
        <v>111</v>
      </c>
      <c r="G40" s="5" t="s">
        <v>302</v>
      </c>
      <c r="H40" s="5" t="s">
        <v>298</v>
      </c>
      <c r="I40" s="5" t="s">
        <v>303</v>
      </c>
      <c r="J40" s="5" t="s">
        <v>304</v>
      </c>
      <c r="K40" s="5" t="s">
        <v>85</v>
      </c>
      <c r="L40" s="4" t="s">
        <v>96</v>
      </c>
      <c r="M40" s="13" t="n">
        <v>0.5</v>
      </c>
      <c r="N40" s="13" t="n">
        <v>1</v>
      </c>
      <c r="O40" s="7" t="n">
        <f aca="false">M40/'Assumptions &amp; Legend'!$B$3</f>
        <v>0.0625</v>
      </c>
      <c r="P40" s="7" t="n">
        <f aca="false">N40/'Assumptions &amp; Legend'!$B$3</f>
        <v>0.125</v>
      </c>
      <c r="Q40" s="4"/>
      <c r="R40" s="4"/>
      <c r="S40" s="5" t="s">
        <v>240</v>
      </c>
      <c r="T40" s="4" t="s">
        <v>35</v>
      </c>
      <c r="U40" s="5" t="s">
        <v>305</v>
      </c>
    </row>
    <row r="41" customFormat="false" ht="15" hidden="false" customHeight="false" outlineLevel="0" collapsed="false">
      <c r="A41" s="4" t="n">
        <v>37</v>
      </c>
      <c r="B41" s="4" t="s">
        <v>306</v>
      </c>
      <c r="C41" s="5" t="s">
        <v>307</v>
      </c>
      <c r="D41" s="5" t="s">
        <v>282</v>
      </c>
      <c r="E41" s="5" t="s">
        <v>69</v>
      </c>
      <c r="F41" s="5" t="s">
        <v>118</v>
      </c>
      <c r="G41" s="5" t="s">
        <v>308</v>
      </c>
      <c r="H41" s="5" t="s">
        <v>298</v>
      </c>
      <c r="I41" s="5" t="s">
        <v>309</v>
      </c>
      <c r="J41" s="5" t="s">
        <v>310</v>
      </c>
      <c r="K41" s="5" t="s">
        <v>248</v>
      </c>
      <c r="L41" s="4" t="s">
        <v>104</v>
      </c>
      <c r="M41" s="13" t="n">
        <v>3</v>
      </c>
      <c r="N41" s="13" t="n">
        <v>4</v>
      </c>
      <c r="O41" s="7" t="n">
        <f aca="false">M41/'Assumptions &amp; Legend'!$B$3</f>
        <v>0.375</v>
      </c>
      <c r="P41" s="7" t="n">
        <f aca="false">N41/'Assumptions &amp; Legend'!$B$3</f>
        <v>0.5</v>
      </c>
      <c r="Q41" s="4"/>
      <c r="R41" s="4"/>
      <c r="S41" s="5" t="s">
        <v>224</v>
      </c>
      <c r="T41" s="4" t="s">
        <v>35</v>
      </c>
      <c r="U41" s="5"/>
    </row>
    <row r="42" customFormat="false" ht="22.35" hidden="false" customHeight="false" outlineLevel="0" collapsed="false">
      <c r="A42" s="4" t="n">
        <v>38</v>
      </c>
      <c r="B42" s="4" t="s">
        <v>311</v>
      </c>
      <c r="C42" s="5" t="s">
        <v>312</v>
      </c>
      <c r="D42" s="5" t="s">
        <v>282</v>
      </c>
      <c r="E42" s="5" t="s">
        <v>69</v>
      </c>
      <c r="F42" s="5" t="s">
        <v>258</v>
      </c>
      <c r="G42" s="5" t="s">
        <v>313</v>
      </c>
      <c r="H42" s="5" t="s">
        <v>314</v>
      </c>
      <c r="I42" s="5" t="s">
        <v>315</v>
      </c>
      <c r="J42" s="5" t="s">
        <v>316</v>
      </c>
      <c r="K42" s="5" t="s">
        <v>317</v>
      </c>
      <c r="L42" s="4" t="s">
        <v>124</v>
      </c>
      <c r="M42" s="6" t="n">
        <f aca="false">1*'Assumptions &amp; Legend'!$B$3</f>
        <v>8</v>
      </c>
      <c r="N42" s="6" t="n">
        <f aca="false">1*'Assumptions &amp; Legend'!$B$3</f>
        <v>8</v>
      </c>
      <c r="O42" s="7" t="n">
        <f aca="false">M42/'Assumptions &amp; Legend'!$B$3</f>
        <v>1</v>
      </c>
      <c r="P42" s="7" t="n">
        <f aca="false">N42/'Assumptions &amp; Legend'!$B$3</f>
        <v>1</v>
      </c>
      <c r="Q42" s="4"/>
      <c r="R42" s="4"/>
      <c r="S42" s="5" t="s">
        <v>64</v>
      </c>
      <c r="T42" s="4" t="s">
        <v>35</v>
      </c>
      <c r="U42" s="5" t="s">
        <v>318</v>
      </c>
    </row>
    <row r="43" customFormat="false" ht="22.35" hidden="false" customHeight="false" outlineLevel="0" collapsed="false">
      <c r="A43" s="4" t="n">
        <v>39</v>
      </c>
      <c r="B43" s="4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  <c r="G43" s="5" t="s">
        <v>324</v>
      </c>
      <c r="H43" s="5" t="s">
        <v>325</v>
      </c>
      <c r="I43" s="5" t="s">
        <v>326</v>
      </c>
      <c r="J43" s="5" t="s">
        <v>327</v>
      </c>
      <c r="K43" s="5" t="s">
        <v>328</v>
      </c>
      <c r="L43" s="4" t="s">
        <v>329</v>
      </c>
      <c r="M43" s="6" t="n">
        <f aca="false">7*'Assumptions &amp; Legend'!$B$3</f>
        <v>56</v>
      </c>
      <c r="N43" s="6" t="n">
        <f aca="false">7*'Assumptions &amp; Legend'!$B$3</f>
        <v>56</v>
      </c>
      <c r="O43" s="7" t="n">
        <f aca="false">M43/'Assumptions &amp; Legend'!$B$3</f>
        <v>7</v>
      </c>
      <c r="P43" s="7" t="n">
        <f aca="false">N43/'Assumptions &amp; Legend'!$B$3</f>
        <v>7</v>
      </c>
      <c r="Q43" s="4"/>
      <c r="R43" s="4"/>
      <c r="S43" s="5" t="s">
        <v>64</v>
      </c>
      <c r="T43" s="4" t="s">
        <v>35</v>
      </c>
      <c r="U43" s="5" t="s">
        <v>330</v>
      </c>
    </row>
    <row r="44" customFormat="false" ht="22.35" hidden="false" customHeight="false" outlineLevel="0" collapsed="false">
      <c r="A44" s="8" t="n">
        <v>40</v>
      </c>
      <c r="B44" s="8" t="s">
        <v>331</v>
      </c>
      <c r="C44" s="9" t="s">
        <v>332</v>
      </c>
      <c r="D44" s="9" t="s">
        <v>321</v>
      </c>
      <c r="E44" s="9" t="s">
        <v>333</v>
      </c>
      <c r="F44" s="9" t="s">
        <v>334</v>
      </c>
      <c r="G44" s="9" t="s">
        <v>335</v>
      </c>
      <c r="H44" s="9" t="s">
        <v>336</v>
      </c>
      <c r="I44" s="9" t="s">
        <v>337</v>
      </c>
      <c r="J44" s="9" t="s">
        <v>338</v>
      </c>
      <c r="K44" s="9" t="s">
        <v>85</v>
      </c>
      <c r="L44" s="8" t="s">
        <v>33</v>
      </c>
      <c r="M44" s="10"/>
      <c r="N44" s="10"/>
      <c r="O44" s="11"/>
      <c r="P44" s="11"/>
      <c r="Q44" s="8"/>
      <c r="R44" s="8"/>
      <c r="S44" s="9" t="s">
        <v>97</v>
      </c>
      <c r="T44" s="8" t="s">
        <v>47</v>
      </c>
      <c r="U44" s="9" t="s">
        <v>339</v>
      </c>
    </row>
    <row r="45" customFormat="false" ht="22.35" hidden="false" customHeight="false" outlineLevel="0" collapsed="false">
      <c r="A45" s="8" t="n">
        <v>41</v>
      </c>
      <c r="B45" s="8" t="s">
        <v>340</v>
      </c>
      <c r="C45" s="9" t="s">
        <v>341</v>
      </c>
      <c r="D45" s="9" t="s">
        <v>342</v>
      </c>
      <c r="E45" s="9" t="s">
        <v>26</v>
      </c>
      <c r="F45" s="9" t="s">
        <v>343</v>
      </c>
      <c r="G45" s="9" t="s">
        <v>344</v>
      </c>
      <c r="H45" s="9" t="s">
        <v>345</v>
      </c>
      <c r="I45" s="9" t="s">
        <v>346</v>
      </c>
      <c r="J45" s="9" t="s">
        <v>347</v>
      </c>
      <c r="K45" s="9" t="s">
        <v>348</v>
      </c>
      <c r="L45" s="8" t="s">
        <v>33</v>
      </c>
      <c r="M45" s="10"/>
      <c r="N45" s="10"/>
      <c r="O45" s="11"/>
      <c r="P45" s="11"/>
      <c r="Q45" s="12" t="n">
        <v>1</v>
      </c>
      <c r="R45" s="8" t="s">
        <v>33</v>
      </c>
      <c r="S45" s="9" t="s">
        <v>349</v>
      </c>
      <c r="T45" s="8" t="s">
        <v>47</v>
      </c>
      <c r="U45" s="9" t="s">
        <v>350</v>
      </c>
    </row>
    <row r="46" customFormat="false" ht="22.35" hidden="false" customHeight="false" outlineLevel="0" collapsed="false">
      <c r="A46" s="8" t="n">
        <v>42</v>
      </c>
      <c r="B46" s="8" t="s">
        <v>351</v>
      </c>
      <c r="C46" s="9" t="s">
        <v>352</v>
      </c>
      <c r="D46" s="9" t="s">
        <v>342</v>
      </c>
      <c r="E46" s="9" t="s">
        <v>333</v>
      </c>
      <c r="F46" s="9" t="s">
        <v>334</v>
      </c>
      <c r="G46" s="9" t="s">
        <v>353</v>
      </c>
      <c r="H46" s="9" t="s">
        <v>354</v>
      </c>
      <c r="I46" s="9" t="s">
        <v>355</v>
      </c>
      <c r="J46" s="9" t="s">
        <v>356</v>
      </c>
      <c r="K46" s="9" t="s">
        <v>357</v>
      </c>
      <c r="L46" s="8" t="s">
        <v>33</v>
      </c>
      <c r="M46" s="10"/>
      <c r="N46" s="10"/>
      <c r="O46" s="11"/>
      <c r="P46" s="11"/>
      <c r="Q46" s="8"/>
      <c r="R46" s="8"/>
      <c r="S46" s="9" t="s">
        <v>358</v>
      </c>
      <c r="T46" s="8" t="s">
        <v>47</v>
      </c>
      <c r="U46" s="9" t="s">
        <v>359</v>
      </c>
    </row>
  </sheetData>
  <autoFilter ref="A4:U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21" t="s">
        <v>362</v>
      </c>
    </row>
    <row r="5" customFormat="false" ht="23.85" hidden="false" customHeight="false" outlineLevel="0" collapsed="false">
      <c r="A5" s="3" t="s">
        <v>5</v>
      </c>
      <c r="B5" s="3" t="s">
        <v>363</v>
      </c>
      <c r="C5" s="3" t="s">
        <v>364</v>
      </c>
      <c r="D5" s="3" t="s">
        <v>14</v>
      </c>
      <c r="E5" s="3" t="s">
        <v>15</v>
      </c>
      <c r="F5" s="3" t="s">
        <v>16</v>
      </c>
      <c r="G5" s="3" t="s">
        <v>17</v>
      </c>
    </row>
    <row r="6" customFormat="false" ht="15" hidden="false" customHeight="false" outlineLevel="0" collapsed="false">
      <c r="A6" s="5" t="s">
        <v>25</v>
      </c>
      <c r="B6" s="4" t="n">
        <f aca="false">COUNTIF('As-Is Process Map'!$D$5:$D$46,A6)</f>
        <v>4</v>
      </c>
      <c r="C6" s="4" t="n">
        <f aca="false">COUNTIFS('As-Is Process Map'!$D$5:$D$46,A6,'As-Is Process Map'!$L$5:$L$46,"Not stated")</f>
        <v>4</v>
      </c>
      <c r="D6" s="6" t="n">
        <f aca="false">SUMIFS('As-Is Process Map'!$M$5:$M$46,'As-Is Process Map'!$D$5:$D$46,A6)</f>
        <v>0</v>
      </c>
      <c r="E6" s="6" t="n">
        <f aca="false">SUMIFS('As-Is Process Map'!$N$5:$N$46,'As-Is Process Map'!$D$5:$D$46,A6)</f>
        <v>0</v>
      </c>
      <c r="F6" s="7" t="n">
        <f aca="false">D6/'Assumptions &amp; Legend'!$B$3</f>
        <v>0</v>
      </c>
      <c r="G6" s="7" t="n">
        <f aca="false">E6/'Assumptions &amp; Legend'!$B$3</f>
        <v>0</v>
      </c>
    </row>
    <row r="7" customFormat="false" ht="15" hidden="false" customHeight="false" outlineLevel="0" collapsed="false">
      <c r="A7" s="5" t="s">
        <v>68</v>
      </c>
      <c r="B7" s="4" t="n">
        <f aca="false">COUNTIF('As-Is Process Map'!$D$5:$D$46,A7)</f>
        <v>6</v>
      </c>
      <c r="C7" s="4" t="n">
        <f aca="false">COUNTIFS('As-Is Process Map'!$D$5:$D$46,A7,'As-Is Process Map'!$L$5:$L$46,"Not stated")</f>
        <v>0</v>
      </c>
      <c r="D7" s="6" t="n">
        <f aca="false">SUMIFS('As-Is Process Map'!$M$5:$M$46,'As-Is Process Map'!$D$5:$D$46,A7)</f>
        <v>11.5</v>
      </c>
      <c r="E7" s="6" t="n">
        <f aca="false">SUMIFS('As-Is Process Map'!$N$5:$N$46,'As-Is Process Map'!$D$5:$D$46,A7)</f>
        <v>16</v>
      </c>
      <c r="F7" s="7" t="n">
        <f aca="false">D7/'Assumptions &amp; Legend'!$B$3</f>
        <v>1.4375</v>
      </c>
      <c r="G7" s="7" t="n">
        <f aca="false">E7/'Assumptions &amp; Legend'!$B$3</f>
        <v>2</v>
      </c>
    </row>
    <row r="8" customFormat="false" ht="15" hidden="false" customHeight="false" outlineLevel="0" collapsed="false">
      <c r="A8" s="5" t="s">
        <v>117</v>
      </c>
      <c r="B8" s="4" t="n">
        <f aca="false">COUNTIF('As-Is Process Map'!$D$5:$D$46,A8)</f>
        <v>3</v>
      </c>
      <c r="C8" s="4" t="n">
        <f aca="false">COUNTIFS('As-Is Process Map'!$D$5:$D$46,A8,'As-Is Process Map'!$L$5:$L$46,"Not stated")</f>
        <v>1</v>
      </c>
      <c r="D8" s="6" t="n">
        <f aca="false">SUMIFS('As-Is Process Map'!$M$5:$M$46,'As-Is Process Map'!$D$5:$D$46,A8)</f>
        <v>16</v>
      </c>
      <c r="E8" s="6" t="n">
        <f aca="false">SUMIFS('As-Is Process Map'!$N$5:$N$46,'As-Is Process Map'!$D$5:$D$46,A8)</f>
        <v>16</v>
      </c>
      <c r="F8" s="7" t="n">
        <f aca="false">D8/'Assumptions &amp; Legend'!$B$3</f>
        <v>2</v>
      </c>
      <c r="G8" s="7" t="n">
        <f aca="false">E8/'Assumptions &amp; Legend'!$B$3</f>
        <v>2</v>
      </c>
    </row>
    <row r="9" customFormat="false" ht="15" hidden="false" customHeight="false" outlineLevel="0" collapsed="false">
      <c r="A9" s="15" t="s">
        <v>142</v>
      </c>
      <c r="B9" s="14" t="n">
        <f aca="false">COUNTIF('As-Is Process Map'!$D$5:$D$46,A9)</f>
        <v>3</v>
      </c>
      <c r="C9" s="14" t="n">
        <f aca="false">COUNTIFS('As-Is Process Map'!$D$5:$D$46,A9,'As-Is Process Map'!$L$5:$L$46,"Not stated")</f>
        <v>2</v>
      </c>
      <c r="D9" s="18" t="n">
        <f aca="false">SUMIFS('As-Is Process Map'!$M$5:$M$46,'As-Is Process Map'!$D$5:$D$46,A9)</f>
        <v>0</v>
      </c>
      <c r="E9" s="18" t="n">
        <f aca="false">SUMIFS('As-Is Process Map'!$N$5:$N$46,'As-Is Process Map'!$D$5:$D$46,A9)</f>
        <v>0</v>
      </c>
      <c r="F9" s="17" t="n">
        <f aca="false">D9/'Assumptions &amp; Legend'!$B$3</f>
        <v>0</v>
      </c>
      <c r="G9" s="17" t="n">
        <f aca="false">E9/'Assumptions &amp; Legend'!$B$3</f>
        <v>0</v>
      </c>
    </row>
    <row r="10" customFormat="false" ht="15" hidden="false" customHeight="false" outlineLevel="0" collapsed="false">
      <c r="A10" s="5" t="s">
        <v>168</v>
      </c>
      <c r="B10" s="4" t="n">
        <f aca="false">COUNTIF('As-Is Process Map'!$D$5:$D$46,A10)</f>
        <v>5</v>
      </c>
      <c r="C10" s="4" t="n">
        <f aca="false">COUNTIFS('As-Is Process Map'!$D$5:$D$46,A10,'As-Is Process Map'!$L$5:$L$46,"Not stated")</f>
        <v>1</v>
      </c>
      <c r="D10" s="6" t="n">
        <f aca="false">SUMIFS('As-Is Process Map'!$M$5:$M$46,'As-Is Process Map'!$D$5:$D$46,A10)</f>
        <v>8</v>
      </c>
      <c r="E10" s="6" t="n">
        <f aca="false">SUMIFS('As-Is Process Map'!$N$5:$N$46,'As-Is Process Map'!$D$5:$D$46,A10)</f>
        <v>12</v>
      </c>
      <c r="F10" s="7" t="n">
        <f aca="false">D10/'Assumptions &amp; Legend'!$B$3</f>
        <v>1</v>
      </c>
      <c r="G10" s="7" t="n">
        <f aca="false">E10/'Assumptions &amp; Legend'!$B$3</f>
        <v>1.5</v>
      </c>
    </row>
    <row r="11" customFormat="false" ht="15" hidden="false" customHeight="false" outlineLevel="0" collapsed="false">
      <c r="A11" s="5" t="s">
        <v>203</v>
      </c>
      <c r="B11" s="4" t="n">
        <f aca="false">COUNTIF('As-Is Process Map'!$D$5:$D$46,A11)</f>
        <v>3</v>
      </c>
      <c r="C11" s="4" t="n">
        <f aca="false">COUNTIFS('As-Is Process Map'!$D$5:$D$46,A11,'As-Is Process Map'!$L$5:$L$46,"Not stated")</f>
        <v>0</v>
      </c>
      <c r="D11" s="6" t="n">
        <f aca="false">SUMIFS('As-Is Process Map'!$M$5:$M$46,'As-Is Process Map'!$D$5:$D$46,A11)</f>
        <v>3</v>
      </c>
      <c r="E11" s="6" t="n">
        <f aca="false">SUMIFS('As-Is Process Map'!$N$5:$N$46,'As-Is Process Map'!$D$5:$D$46,A11)</f>
        <v>5</v>
      </c>
      <c r="F11" s="7" t="n">
        <f aca="false">D11/'Assumptions &amp; Legend'!$B$3</f>
        <v>0.375</v>
      </c>
      <c r="G11" s="7" t="n">
        <f aca="false">E11/'Assumptions &amp; Legend'!$B$3</f>
        <v>0.625</v>
      </c>
    </row>
    <row r="12" customFormat="false" ht="15" hidden="false" customHeight="false" outlineLevel="0" collapsed="false">
      <c r="A12" s="5" t="s">
        <v>218</v>
      </c>
      <c r="B12" s="4" t="n">
        <f aca="false">COUNTIF('As-Is Process Map'!$D$5:$D$46,A12)</f>
        <v>3</v>
      </c>
      <c r="C12" s="4" t="n">
        <f aca="false">COUNTIFS('As-Is Process Map'!$D$5:$D$46,A12,'As-Is Process Map'!$L$5:$L$46,"Not stated")</f>
        <v>0</v>
      </c>
      <c r="D12" s="6" t="n">
        <f aca="false">SUMIFS('As-Is Process Map'!$M$5:$M$46,'As-Is Process Map'!$D$5:$D$46,A12)</f>
        <v>12.5</v>
      </c>
      <c r="E12" s="6" t="n">
        <f aca="false">SUMIFS('As-Is Process Map'!$N$5:$N$46,'As-Is Process Map'!$D$5:$D$46,A12)</f>
        <v>14</v>
      </c>
      <c r="F12" s="7" t="n">
        <f aca="false">D12/'Assumptions &amp; Legend'!$B$3</f>
        <v>1.5625</v>
      </c>
      <c r="G12" s="7" t="n">
        <f aca="false">E12/'Assumptions &amp; Legend'!$B$3</f>
        <v>1.75</v>
      </c>
    </row>
    <row r="13" customFormat="false" ht="15" hidden="false" customHeight="false" outlineLevel="0" collapsed="false">
      <c r="A13" s="5" t="s">
        <v>243</v>
      </c>
      <c r="B13" s="4" t="n">
        <f aca="false">COUNTIF('As-Is Process Map'!$D$5:$D$46,A13)</f>
        <v>5</v>
      </c>
      <c r="C13" s="4" t="n">
        <f aca="false">COUNTIFS('As-Is Process Map'!$D$5:$D$46,A13,'As-Is Process Map'!$L$5:$L$46,"Not stated")</f>
        <v>1</v>
      </c>
      <c r="D13" s="6" t="n">
        <f aca="false">SUMIFS('As-Is Process Map'!$M$5:$M$46,'As-Is Process Map'!$D$5:$D$46,A13)</f>
        <v>20.5</v>
      </c>
      <c r="E13" s="6" t="n">
        <f aca="false">SUMIFS('As-Is Process Map'!$N$5:$N$46,'As-Is Process Map'!$D$5:$D$46,A13)</f>
        <v>22</v>
      </c>
      <c r="F13" s="7" t="n">
        <f aca="false">D13/'Assumptions &amp; Legend'!$B$3</f>
        <v>2.5625</v>
      </c>
      <c r="G13" s="7" t="n">
        <f aca="false">E13/'Assumptions &amp; Legend'!$B$3</f>
        <v>2.75</v>
      </c>
    </row>
    <row r="14" customFormat="false" ht="15" hidden="false" customHeight="false" outlineLevel="0" collapsed="false">
      <c r="A14" s="5" t="s">
        <v>282</v>
      </c>
      <c r="B14" s="4" t="n">
        <f aca="false">COUNTIF('As-Is Process Map'!$D$5:$D$46,A14)</f>
        <v>6</v>
      </c>
      <c r="C14" s="4" t="n">
        <f aca="false">COUNTIFS('As-Is Process Map'!$D$5:$D$46,A14,'As-Is Process Map'!$L$5:$L$46,"Not stated")</f>
        <v>0</v>
      </c>
      <c r="D14" s="6" t="n">
        <f aca="false">SUMIFS('As-Is Process Map'!$M$5:$M$46,'As-Is Process Map'!$D$5:$D$46,A14)</f>
        <v>26.5</v>
      </c>
      <c r="E14" s="6" t="n">
        <f aca="false">SUMIFS('As-Is Process Map'!$N$5:$N$46,'As-Is Process Map'!$D$5:$D$46,A14)</f>
        <v>30</v>
      </c>
      <c r="F14" s="7" t="n">
        <f aca="false">D14/'Assumptions &amp; Legend'!$B$3</f>
        <v>3.3125</v>
      </c>
      <c r="G14" s="7" t="n">
        <f aca="false">E14/'Assumptions &amp; Legend'!$B$3</f>
        <v>3.75</v>
      </c>
    </row>
    <row r="15" customFormat="false" ht="15" hidden="false" customHeight="false" outlineLevel="0" collapsed="false">
      <c r="A15" s="5" t="s">
        <v>321</v>
      </c>
      <c r="B15" s="4" t="n">
        <f aca="false">COUNTIF('As-Is Process Map'!$D$5:$D$46,A15)</f>
        <v>2</v>
      </c>
      <c r="C15" s="4" t="n">
        <f aca="false">COUNTIFS('As-Is Process Map'!$D$5:$D$46,A15,'As-Is Process Map'!$L$5:$L$46,"Not stated")</f>
        <v>1</v>
      </c>
      <c r="D15" s="6" t="n">
        <f aca="false">SUMIFS('As-Is Process Map'!$M$5:$M$46,'As-Is Process Map'!$D$5:$D$46,A15)</f>
        <v>56</v>
      </c>
      <c r="E15" s="6" t="n">
        <f aca="false">SUMIFS('As-Is Process Map'!$N$5:$N$46,'As-Is Process Map'!$D$5:$D$46,A15)</f>
        <v>56</v>
      </c>
      <c r="F15" s="7" t="n">
        <f aca="false">D15/'Assumptions &amp; Legend'!$B$3</f>
        <v>7</v>
      </c>
      <c r="G15" s="7" t="n">
        <f aca="false">E15/'Assumptions &amp; Legend'!$B$3</f>
        <v>7</v>
      </c>
    </row>
    <row r="16" customFormat="false" ht="15" hidden="false" customHeight="false" outlineLevel="0" collapsed="false">
      <c r="A16" s="22" t="s">
        <v>342</v>
      </c>
      <c r="B16" s="23" t="n">
        <f aca="false">COUNTIF('As-Is Process Map'!$D$5:$D$46,A16)</f>
        <v>2</v>
      </c>
      <c r="C16" s="23" t="n">
        <f aca="false">COUNTIFS('As-Is Process Map'!$D$5:$D$46,A16,'As-Is Process Map'!$L$5:$L$46,"Not stated")</f>
        <v>2</v>
      </c>
      <c r="D16" s="24" t="n">
        <f aca="false">SUMIFS('As-Is Process Map'!$M$5:$M$46,'As-Is Process Map'!$D$5:$D$46,A16)</f>
        <v>0</v>
      </c>
      <c r="E16" s="24" t="n">
        <f aca="false">SUMIFS('As-Is Process Map'!$N$5:$N$46,'As-Is Process Map'!$D$5:$D$46,A16)</f>
        <v>0</v>
      </c>
      <c r="F16" s="25" t="n">
        <f aca="false">D16/'Assumptions &amp; Legend'!$B$3</f>
        <v>0</v>
      </c>
      <c r="G16" s="25" t="n">
        <f aca="false">E16/'Assumptions &amp; Legend'!$B$3</f>
        <v>0</v>
      </c>
    </row>
    <row r="17" customFormat="false" ht="15" hidden="false" customHeight="false" outlineLevel="0" collapsed="false">
      <c r="A17" s="26" t="s">
        <v>365</v>
      </c>
      <c r="B17" s="27" t="n">
        <f aca="false">B7+B8+B10</f>
        <v>14</v>
      </c>
      <c r="C17" s="27" t="n">
        <f aca="false">C7+C8+C10</f>
        <v>2</v>
      </c>
      <c r="D17" s="28" t="n">
        <f aca="false">D7+D8+D10</f>
        <v>35.5</v>
      </c>
      <c r="E17" s="28" t="n">
        <f aca="false">E7+E8+E10</f>
        <v>44</v>
      </c>
      <c r="F17" s="29" t="n">
        <f aca="false">D17/'Assumptions &amp; Legend'!$B$3</f>
        <v>4.4375</v>
      </c>
      <c r="G17" s="29" t="n">
        <f aca="false">E17/'Assumptions &amp; Legend'!$B$3</f>
        <v>5.5</v>
      </c>
    </row>
    <row r="18" customFormat="false" ht="15" hidden="false" customHeight="false" outlineLevel="0" collapsed="false">
      <c r="A18" s="26" t="s">
        <v>366</v>
      </c>
      <c r="B18" s="27" t="n">
        <f aca="false">B11+B12+B13+B14</f>
        <v>17</v>
      </c>
      <c r="C18" s="27" t="n">
        <f aca="false">C11+C12+C13+C14</f>
        <v>1</v>
      </c>
      <c r="D18" s="28" t="n">
        <f aca="false">D11+D12+D13+D14</f>
        <v>62.5</v>
      </c>
      <c r="E18" s="28" t="n">
        <f aca="false">E11+E12+E13+E14</f>
        <v>71</v>
      </c>
      <c r="F18" s="29" t="n">
        <f aca="false">D18/'Assumptions &amp; Legend'!$B$3</f>
        <v>7.8125</v>
      </c>
      <c r="G18" s="29" t="n">
        <f aca="false">E18/'Assumptions &amp; Legend'!$B$3</f>
        <v>8.875</v>
      </c>
    </row>
    <row r="19" customFormat="false" ht="15" hidden="false" customHeight="false" outlineLevel="0" collapsed="false">
      <c r="A19" s="26" t="s">
        <v>367</v>
      </c>
      <c r="B19" s="27" t="n">
        <f aca="false">B7+B8+B10+B11+B12+B13+B14</f>
        <v>31</v>
      </c>
      <c r="C19" s="27" t="n">
        <f aca="false">C7+C8+C10+C11+C12+C13+C14</f>
        <v>3</v>
      </c>
      <c r="D19" s="28" t="n">
        <f aca="false">D7+D8+D10+D11+D12+D13+D14</f>
        <v>98</v>
      </c>
      <c r="E19" s="28" t="n">
        <f aca="false">E7+E8+E10+E11+E12+E13+E14</f>
        <v>115</v>
      </c>
      <c r="F19" s="29" t="n">
        <f aca="false">D19/'Assumptions &amp; Legend'!$B$3</f>
        <v>12.25</v>
      </c>
      <c r="G19" s="29" t="n">
        <f aca="false">E19/'Assumptions &amp; Legend'!$B$3</f>
        <v>14.375</v>
      </c>
    </row>
    <row r="20" customFormat="false" ht="22.35" hidden="false" customHeight="false" outlineLevel="0" collapsed="false">
      <c r="A20" s="26" t="s">
        <v>368</v>
      </c>
      <c r="B20" s="27" t="n">
        <f aca="false">B7+B8+B10+B11+B12+B13+B14+B15</f>
        <v>33</v>
      </c>
      <c r="C20" s="27" t="n">
        <f aca="false">C7+C8+C10+C11+C12+C13+C14+C15</f>
        <v>4</v>
      </c>
      <c r="D20" s="28" t="n">
        <f aca="false">D7+D8+D10+D11+D12+D13+D14+D15</f>
        <v>154</v>
      </c>
      <c r="E20" s="28" t="n">
        <f aca="false">E7+E8+E10+E11+E12+E13+E14+E15</f>
        <v>171</v>
      </c>
      <c r="F20" s="29" t="n">
        <f aca="false">D20/'Assumptions &amp; Legend'!$B$3</f>
        <v>19.25</v>
      </c>
      <c r="G20" s="29" t="n">
        <f aca="false">E20/'Assumptions &amp; Legend'!$B$3</f>
        <v>21.375</v>
      </c>
      <c r="H20" s="30" t="s">
        <v>369</v>
      </c>
    </row>
    <row r="21" customFormat="false" ht="15" hidden="false" customHeight="false" outlineLevel="0" collapsed="false">
      <c r="A21" s="26" t="s">
        <v>370</v>
      </c>
      <c r="B21" s="27"/>
      <c r="C21" s="27"/>
      <c r="D21" s="31" t="n">
        <f aca="false">D18/D19</f>
        <v>0.637755102040816</v>
      </c>
      <c r="E21" s="31" t="n">
        <f aca="false">E18/E19</f>
        <v>0.617391304347826</v>
      </c>
      <c r="F21" s="27"/>
      <c r="G21" s="27"/>
    </row>
    <row r="22" customFormat="false" ht="22.35" hidden="false" customHeight="false" outlineLevel="0" collapsed="false">
      <c r="A22" s="26" t="s">
        <v>371</v>
      </c>
      <c r="B22" s="27"/>
      <c r="C22" s="27"/>
      <c r="D22" s="28" t="n">
        <f aca="false">D13</f>
        <v>20.5</v>
      </c>
      <c r="E22" s="28" t="n">
        <f aca="false">E13</f>
        <v>22</v>
      </c>
      <c r="F22" s="29" t="n">
        <f aca="false">D22/'Assumptions &amp; Legend'!$B$3</f>
        <v>2.5625</v>
      </c>
      <c r="G22" s="29" t="n">
        <f aca="false">E22/'Assumptions &amp; Legend'!$B$3</f>
        <v>2.75</v>
      </c>
      <c r="H22" s="30" t="s">
        <v>372</v>
      </c>
    </row>
    <row r="24" customFormat="false" ht="15" hidden="false" customHeight="false" outlineLevel="0" collapsed="false">
      <c r="A24" s="21" t="s">
        <v>373</v>
      </c>
    </row>
    <row r="25" customFormat="false" ht="23.85" hidden="false" customHeight="false" outlineLevel="0" collapsed="false">
      <c r="A25" s="3" t="s">
        <v>7</v>
      </c>
      <c r="B25" s="3" t="s">
        <v>6</v>
      </c>
      <c r="C25" s="3" t="s">
        <v>363</v>
      </c>
      <c r="D25" s="3" t="s">
        <v>14</v>
      </c>
      <c r="E25" s="3" t="s">
        <v>15</v>
      </c>
      <c r="F25" s="3" t="s">
        <v>16</v>
      </c>
      <c r="G25" s="3" t="s">
        <v>17</v>
      </c>
    </row>
    <row r="26" customFormat="false" ht="22.35" hidden="false" customHeight="false" outlineLevel="0" collapsed="false">
      <c r="A26" s="5" t="s">
        <v>27</v>
      </c>
      <c r="B26" s="4" t="s">
        <v>26</v>
      </c>
      <c r="C26" s="4" t="n">
        <f aca="false">COUNTIF('As-Is Process Map'!$F$5:$F$46,A26)</f>
        <v>3</v>
      </c>
      <c r="D26" s="6" t="n">
        <f aca="false">SUMIFS('As-Is Process Map'!$M$5:$M$46,'As-Is Process Map'!$F$5:$F$46,A26)</f>
        <v>0</v>
      </c>
      <c r="E26" s="6" t="n">
        <f aca="false">SUMIFS('As-Is Process Map'!$N$5:$N$46,'As-Is Process Map'!$F$5:$F$46,A26)</f>
        <v>0</v>
      </c>
      <c r="F26" s="7" t="n">
        <f aca="false">D26/'Assumptions &amp; Legend'!$B$3</f>
        <v>0</v>
      </c>
      <c r="G26" s="7" t="n">
        <f aca="false">E26/'Assumptions &amp; Legend'!$B$3</f>
        <v>0</v>
      </c>
    </row>
    <row r="27" customFormat="false" ht="22.35" hidden="false" customHeight="false" outlineLevel="0" collapsed="false">
      <c r="A27" s="5" t="s">
        <v>40</v>
      </c>
      <c r="B27" s="4" t="s">
        <v>39</v>
      </c>
      <c r="C27" s="4" t="n">
        <f aca="false">COUNTIF('As-Is Process Map'!$F$5:$F$46,A27)</f>
        <v>4</v>
      </c>
      <c r="D27" s="6" t="n">
        <f aca="false">SUMIFS('As-Is Process Map'!$M$5:$M$46,'As-Is Process Map'!$F$5:$F$46,A27)</f>
        <v>0</v>
      </c>
      <c r="E27" s="6" t="n">
        <f aca="false">SUMIFS('As-Is Process Map'!$N$5:$N$46,'As-Is Process Map'!$F$5:$F$46,A27)</f>
        <v>0</v>
      </c>
      <c r="F27" s="7" t="n">
        <f aca="false">D27/'Assumptions &amp; Legend'!$B$3</f>
        <v>0</v>
      </c>
      <c r="G27" s="7" t="n">
        <f aca="false">E27/'Assumptions &amp; Legend'!$B$3</f>
        <v>0</v>
      </c>
    </row>
    <row r="28" customFormat="false" ht="22.35" hidden="false" customHeight="false" outlineLevel="0" collapsed="false">
      <c r="A28" s="5" t="s">
        <v>70</v>
      </c>
      <c r="B28" s="4" t="s">
        <v>69</v>
      </c>
      <c r="C28" s="4" t="n">
        <f aca="false">COUNTIF('As-Is Process Map'!$F$5:$F$46,A28)</f>
        <v>1</v>
      </c>
      <c r="D28" s="6" t="n">
        <f aca="false">SUMIFS('As-Is Process Map'!$M$5:$M$46,'As-Is Process Map'!$F$5:$F$46,A28)</f>
        <v>0</v>
      </c>
      <c r="E28" s="6" t="n">
        <f aca="false">SUMIFS('As-Is Process Map'!$N$5:$N$46,'As-Is Process Map'!$F$5:$F$46,A28)</f>
        <v>0</v>
      </c>
      <c r="F28" s="7" t="n">
        <f aca="false">D28/'Assumptions &amp; Legend'!$B$3</f>
        <v>0</v>
      </c>
      <c r="G28" s="7" t="n">
        <f aca="false">E28/'Assumptions &amp; Legend'!$B$3</f>
        <v>0</v>
      </c>
    </row>
    <row r="29" customFormat="false" ht="22.35" hidden="false" customHeight="false" outlineLevel="0" collapsed="false">
      <c r="A29" s="5" t="s">
        <v>80</v>
      </c>
      <c r="B29" s="4" t="s">
        <v>69</v>
      </c>
      <c r="C29" s="4" t="n">
        <f aca="false">COUNTIF('As-Is Process Map'!$F$5:$F$46,A29)</f>
        <v>2</v>
      </c>
      <c r="D29" s="6" t="n">
        <f aca="false">SUMIFS('As-Is Process Map'!$M$5:$M$46,'As-Is Process Map'!$F$5:$F$46,A29)</f>
        <v>4</v>
      </c>
      <c r="E29" s="6" t="n">
        <f aca="false">SUMIFS('As-Is Process Map'!$N$5:$N$46,'As-Is Process Map'!$F$5:$F$46,A29)</f>
        <v>6</v>
      </c>
      <c r="F29" s="7" t="n">
        <f aca="false">D29/'Assumptions &amp; Legend'!$B$3</f>
        <v>0.5</v>
      </c>
      <c r="G29" s="7" t="n">
        <f aca="false">E29/'Assumptions &amp; Legend'!$B$3</f>
        <v>0.75</v>
      </c>
    </row>
    <row r="30" customFormat="false" ht="22.35" hidden="false" customHeight="false" outlineLevel="0" collapsed="false">
      <c r="A30" s="5" t="s">
        <v>91</v>
      </c>
      <c r="B30" s="4" t="s">
        <v>69</v>
      </c>
      <c r="C30" s="4" t="n">
        <f aca="false">COUNTIF('As-Is Process Map'!$F$5:$F$46,A30)</f>
        <v>1</v>
      </c>
      <c r="D30" s="6" t="n">
        <f aca="false">SUMIFS('As-Is Process Map'!$M$5:$M$46,'As-Is Process Map'!$F$5:$F$46,A30)</f>
        <v>0.5</v>
      </c>
      <c r="E30" s="6" t="n">
        <f aca="false">SUMIFS('As-Is Process Map'!$N$5:$N$46,'As-Is Process Map'!$F$5:$F$46,A30)</f>
        <v>1</v>
      </c>
      <c r="F30" s="7" t="n">
        <f aca="false">D30/'Assumptions &amp; Legend'!$B$3</f>
        <v>0.0625</v>
      </c>
      <c r="G30" s="7" t="n">
        <f aca="false">E30/'Assumptions &amp; Legend'!$B$3</f>
        <v>0.125</v>
      </c>
    </row>
    <row r="31" customFormat="false" ht="22.35" hidden="false" customHeight="false" outlineLevel="0" collapsed="false">
      <c r="A31" s="5" t="s">
        <v>101</v>
      </c>
      <c r="B31" s="4" t="s">
        <v>69</v>
      </c>
      <c r="C31" s="4" t="n">
        <f aca="false">COUNTIF('As-Is Process Map'!$F$5:$F$46,A31)</f>
        <v>3</v>
      </c>
      <c r="D31" s="6" t="n">
        <f aca="false">SUMIFS('As-Is Process Map'!$M$5:$M$46,'As-Is Process Map'!$F$5:$F$46,A31)</f>
        <v>5.5</v>
      </c>
      <c r="E31" s="6" t="n">
        <f aca="false">SUMIFS('As-Is Process Map'!$N$5:$N$46,'As-Is Process Map'!$F$5:$F$46,A31)</f>
        <v>8</v>
      </c>
      <c r="F31" s="7" t="n">
        <f aca="false">D31/'Assumptions &amp; Legend'!$B$3</f>
        <v>0.6875</v>
      </c>
      <c r="G31" s="7" t="n">
        <f aca="false">E31/'Assumptions &amp; Legend'!$B$3</f>
        <v>1</v>
      </c>
    </row>
    <row r="32" customFormat="false" ht="22.35" hidden="false" customHeight="false" outlineLevel="0" collapsed="false">
      <c r="A32" s="5" t="s">
        <v>107</v>
      </c>
      <c r="B32" s="4" t="s">
        <v>69</v>
      </c>
      <c r="C32" s="4" t="n">
        <f aca="false">COUNTIF('As-Is Process Map'!$F$5:$F$46,A32)</f>
        <v>4</v>
      </c>
      <c r="D32" s="6" t="n">
        <f aca="false">SUMIFS('As-Is Process Map'!$M$5:$M$46,'As-Is Process Map'!$F$5:$F$46,A32)</f>
        <v>7.5</v>
      </c>
      <c r="E32" s="6" t="n">
        <f aca="false">SUMIFS('As-Is Process Map'!$N$5:$N$46,'As-Is Process Map'!$F$5:$F$46,A32)</f>
        <v>11</v>
      </c>
      <c r="F32" s="7" t="n">
        <f aca="false">D32/'Assumptions &amp; Legend'!$B$3</f>
        <v>0.9375</v>
      </c>
      <c r="G32" s="7" t="n">
        <f aca="false">E32/'Assumptions &amp; Legend'!$B$3</f>
        <v>1.375</v>
      </c>
    </row>
    <row r="33" customFormat="false" ht="22.35" hidden="false" customHeight="false" outlineLevel="0" collapsed="false">
      <c r="A33" s="5" t="s">
        <v>111</v>
      </c>
      <c r="B33" s="4" t="s">
        <v>69</v>
      </c>
      <c r="C33" s="4" t="n">
        <f aca="false">COUNTIF('As-Is Process Map'!$F$5:$F$46,A33)</f>
        <v>5</v>
      </c>
      <c r="D33" s="6" t="n">
        <f aca="false">SUMIFS('As-Is Process Map'!$M$5:$M$46,'As-Is Process Map'!$F$5:$F$46,A33)</f>
        <v>14.5</v>
      </c>
      <c r="E33" s="6" t="n">
        <f aca="false">SUMIFS('As-Is Process Map'!$N$5:$N$46,'As-Is Process Map'!$F$5:$F$46,A33)</f>
        <v>19</v>
      </c>
      <c r="F33" s="7" t="n">
        <f aca="false">D33/'Assumptions &amp; Legend'!$B$3</f>
        <v>1.8125</v>
      </c>
      <c r="G33" s="7" t="n">
        <f aca="false">E33/'Assumptions &amp; Legend'!$B$3</f>
        <v>2.375</v>
      </c>
    </row>
    <row r="34" customFormat="false" ht="22.35" hidden="false" customHeight="false" outlineLevel="0" collapsed="false">
      <c r="A34" s="5" t="s">
        <v>118</v>
      </c>
      <c r="B34" s="4" t="s">
        <v>69</v>
      </c>
      <c r="C34" s="4" t="n">
        <f aca="false">COUNTIF('As-Is Process Map'!$F$5:$F$46,A34)</f>
        <v>9</v>
      </c>
      <c r="D34" s="6" t="n">
        <f aca="false">SUMIFS('As-Is Process Map'!$M$5:$M$46,'As-Is Process Map'!$F$5:$F$46,A34)</f>
        <v>39.5</v>
      </c>
      <c r="E34" s="6" t="n">
        <f aca="false">SUMIFS('As-Is Process Map'!$N$5:$N$46,'As-Is Process Map'!$F$5:$F$46,A34)</f>
        <v>42</v>
      </c>
      <c r="F34" s="7" t="n">
        <f aca="false">D34/'Assumptions &amp; Legend'!$B$3</f>
        <v>4.9375</v>
      </c>
      <c r="G34" s="7" t="n">
        <f aca="false">E34/'Assumptions &amp; Legend'!$B$3</f>
        <v>5.25</v>
      </c>
    </row>
    <row r="35" customFormat="false" ht="22.35" hidden="false" customHeight="false" outlineLevel="0" collapsed="false">
      <c r="A35" s="5" t="s">
        <v>169</v>
      </c>
      <c r="B35" s="4" t="s">
        <v>69</v>
      </c>
      <c r="C35" s="4" t="n">
        <f aca="false">COUNTIF('As-Is Process Map'!$F$5:$F$46,A35)</f>
        <v>1</v>
      </c>
      <c r="D35" s="6" t="n">
        <f aca="false">SUMIFS('As-Is Process Map'!$M$5:$M$46,'As-Is Process Map'!$F$5:$F$46,A35)</f>
        <v>0</v>
      </c>
      <c r="E35" s="6" t="n">
        <f aca="false">SUMIFS('As-Is Process Map'!$N$5:$N$46,'As-Is Process Map'!$F$5:$F$46,A35)</f>
        <v>0</v>
      </c>
      <c r="F35" s="7" t="n">
        <f aca="false">D35/'Assumptions &amp; Legend'!$B$3</f>
        <v>0</v>
      </c>
      <c r="G35" s="7" t="n">
        <f aca="false">E35/'Assumptions &amp; Legend'!$B$3</f>
        <v>0</v>
      </c>
    </row>
    <row r="36" customFormat="false" ht="22.35" hidden="false" customHeight="false" outlineLevel="0" collapsed="false">
      <c r="A36" s="5" t="s">
        <v>190</v>
      </c>
      <c r="B36" s="4" t="s">
        <v>69</v>
      </c>
      <c r="C36" s="4" t="n">
        <f aca="false">COUNTIF('As-Is Process Map'!$F$5:$F$46,A36)</f>
        <v>1</v>
      </c>
      <c r="D36" s="6" t="n">
        <f aca="false">SUMIFS('As-Is Process Map'!$M$5:$M$46,'As-Is Process Map'!$F$5:$F$46,A36)</f>
        <v>2</v>
      </c>
      <c r="E36" s="6" t="n">
        <f aca="false">SUMIFS('As-Is Process Map'!$N$5:$N$46,'As-Is Process Map'!$F$5:$F$46,A36)</f>
        <v>3</v>
      </c>
      <c r="F36" s="7" t="n">
        <f aca="false">D36/'Assumptions &amp; Legend'!$B$3</f>
        <v>0.25</v>
      </c>
      <c r="G36" s="7" t="n">
        <f aca="false">E36/'Assumptions &amp; Legend'!$B$3</f>
        <v>0.375</v>
      </c>
    </row>
    <row r="37" customFormat="false" ht="22.35" hidden="false" customHeight="false" outlineLevel="0" collapsed="false">
      <c r="A37" s="5" t="s">
        <v>219</v>
      </c>
      <c r="B37" s="4" t="s">
        <v>69</v>
      </c>
      <c r="C37" s="4" t="n">
        <f aca="false">COUNTIF('As-Is Process Map'!$F$5:$F$46,A37)</f>
        <v>1</v>
      </c>
      <c r="D37" s="6" t="n">
        <f aca="false">SUMIFS('As-Is Process Map'!$M$5:$M$46,'As-Is Process Map'!$F$5:$F$46,A37)</f>
        <v>8</v>
      </c>
      <c r="E37" s="6" t="n">
        <f aca="false">SUMIFS('As-Is Process Map'!$N$5:$N$46,'As-Is Process Map'!$F$5:$F$46,A37)</f>
        <v>8</v>
      </c>
      <c r="F37" s="7" t="n">
        <f aca="false">D37/'Assumptions &amp; Legend'!$B$3</f>
        <v>1</v>
      </c>
      <c r="G37" s="7" t="n">
        <f aca="false">E37/'Assumptions &amp; Legend'!$B$3</f>
        <v>1</v>
      </c>
    </row>
    <row r="38" customFormat="false" ht="22.35" hidden="false" customHeight="false" outlineLevel="0" collapsed="false">
      <c r="A38" s="5" t="s">
        <v>235</v>
      </c>
      <c r="B38" s="4" t="s">
        <v>69</v>
      </c>
      <c r="C38" s="4" t="n">
        <f aca="false">COUNTIF('As-Is Process Map'!$F$5:$F$46,A38)</f>
        <v>1</v>
      </c>
      <c r="D38" s="6" t="n">
        <f aca="false">SUMIFS('As-Is Process Map'!$M$5:$M$46,'As-Is Process Map'!$F$5:$F$46,A38)</f>
        <v>0.5</v>
      </c>
      <c r="E38" s="6" t="n">
        <f aca="false">SUMIFS('As-Is Process Map'!$N$5:$N$46,'As-Is Process Map'!$F$5:$F$46,A38)</f>
        <v>1</v>
      </c>
      <c r="F38" s="7" t="n">
        <f aca="false">D38/'Assumptions &amp; Legend'!$B$3</f>
        <v>0.0625</v>
      </c>
      <c r="G38" s="7" t="n">
        <f aca="false">E38/'Assumptions &amp; Legend'!$B$3</f>
        <v>0.125</v>
      </c>
    </row>
    <row r="39" customFormat="false" ht="22.35" hidden="false" customHeight="false" outlineLevel="0" collapsed="false">
      <c r="A39" s="5" t="s">
        <v>258</v>
      </c>
      <c r="B39" s="4" t="s">
        <v>69</v>
      </c>
      <c r="C39" s="4" t="n">
        <f aca="false">COUNTIF('As-Is Process Map'!$F$5:$F$46,A39)</f>
        <v>2</v>
      </c>
      <c r="D39" s="6" t="n">
        <f aca="false">SUMIFS('As-Is Process Map'!$M$5:$M$46,'As-Is Process Map'!$F$5:$F$46,A39)</f>
        <v>16</v>
      </c>
      <c r="E39" s="6" t="n">
        <f aca="false">SUMIFS('As-Is Process Map'!$N$5:$N$46,'As-Is Process Map'!$F$5:$F$46,A39)</f>
        <v>16</v>
      </c>
      <c r="F39" s="7" t="n">
        <f aca="false">D39/'Assumptions &amp; Legend'!$B$3</f>
        <v>2</v>
      </c>
      <c r="G39" s="7" t="n">
        <f aca="false">E39/'Assumptions &amp; Legend'!$B$3</f>
        <v>2</v>
      </c>
    </row>
    <row r="40" customFormat="false" ht="43.25" hidden="false" customHeight="false" outlineLevel="0" collapsed="false">
      <c r="A40" s="5" t="s">
        <v>323</v>
      </c>
      <c r="B40" s="4" t="s">
        <v>322</v>
      </c>
      <c r="C40" s="4" t="n">
        <f aca="false">COUNTIF('As-Is Process Map'!$F$5:$F$46,A40)</f>
        <v>1</v>
      </c>
      <c r="D40" s="6" t="n">
        <f aca="false">SUMIFS('As-Is Process Map'!$M$5:$M$46,'As-Is Process Map'!$F$5:$F$46,A40)</f>
        <v>56</v>
      </c>
      <c r="E40" s="6" t="n">
        <f aca="false">SUMIFS('As-Is Process Map'!$N$5:$N$46,'As-Is Process Map'!$F$5:$F$46,A40)</f>
        <v>56</v>
      </c>
      <c r="F40" s="7" t="n">
        <f aca="false">D40/'Assumptions &amp; Legend'!$B$3</f>
        <v>7</v>
      </c>
      <c r="G40" s="7" t="n">
        <f aca="false">E40/'Assumptions &amp; Legend'!$B$3</f>
        <v>7</v>
      </c>
    </row>
    <row r="41" customFormat="false" ht="22.35" hidden="false" customHeight="false" outlineLevel="0" collapsed="false">
      <c r="A41" s="5" t="s">
        <v>334</v>
      </c>
      <c r="B41" s="4" t="s">
        <v>333</v>
      </c>
      <c r="C41" s="4" t="n">
        <f aca="false">COUNTIF('As-Is Process Map'!$F$5:$F$46,A41)</f>
        <v>2</v>
      </c>
      <c r="D41" s="6" t="n">
        <f aca="false">SUMIFS('As-Is Process Map'!$M$5:$M$46,'As-Is Process Map'!$F$5:$F$46,A41)</f>
        <v>0</v>
      </c>
      <c r="E41" s="6" t="n">
        <f aca="false">SUMIFS('As-Is Process Map'!$N$5:$N$46,'As-Is Process Map'!$F$5:$F$46,A41)</f>
        <v>0</v>
      </c>
      <c r="F41" s="7" t="n">
        <f aca="false">D41/'Assumptions &amp; Legend'!$B$3</f>
        <v>0</v>
      </c>
      <c r="G41" s="7" t="n">
        <f aca="false">E41/'Assumptions &amp; Legend'!$B$3</f>
        <v>0</v>
      </c>
    </row>
    <row r="42" customFormat="false" ht="22.35" hidden="false" customHeight="false" outlineLevel="0" collapsed="false">
      <c r="A42" s="5" t="s">
        <v>343</v>
      </c>
      <c r="B42" s="4" t="s">
        <v>26</v>
      </c>
      <c r="C42" s="4" t="n">
        <f aca="false">COUNTIF('As-Is Process Map'!$F$5:$F$46,A42)</f>
        <v>1</v>
      </c>
      <c r="D42" s="6" t="n">
        <f aca="false">SUMIFS('As-Is Process Map'!$M$5:$M$46,'As-Is Process Map'!$F$5:$F$46,A42)</f>
        <v>0</v>
      </c>
      <c r="E42" s="6" t="n">
        <f aca="false">SUMIFS('As-Is Process Map'!$N$5:$N$46,'As-Is Process Map'!$F$5:$F$46,A42)</f>
        <v>0</v>
      </c>
      <c r="F42" s="7" t="n">
        <f aca="false">D42/'Assumptions &amp; Legend'!$B$3</f>
        <v>0</v>
      </c>
      <c r="G42" s="7" t="n">
        <f aca="false">E42/'Assumptions &amp; Legend'!$B$3</f>
        <v>0</v>
      </c>
    </row>
    <row r="44" customFormat="false" ht="15" hidden="false" customHeight="false" outlineLevel="0" collapsed="false">
      <c r="A44" s="21" t="s">
        <v>374</v>
      </c>
    </row>
    <row r="45" customFormat="false" ht="15" hidden="false" customHeight="false" outlineLevel="0" collapsed="false">
      <c r="A45" s="3" t="s">
        <v>20</v>
      </c>
      <c r="B45" s="3" t="s">
        <v>375</v>
      </c>
      <c r="C45" s="3" t="s">
        <v>376</v>
      </c>
      <c r="D45" s="3" t="s">
        <v>14</v>
      </c>
      <c r="E45" s="3" t="s">
        <v>15</v>
      </c>
    </row>
    <row r="46" customFormat="false" ht="15" hidden="false" customHeight="false" outlineLevel="0" collapsed="false">
      <c r="A46" s="5" t="s">
        <v>34</v>
      </c>
      <c r="B46" s="4" t="n">
        <f aca="false">COUNTIF('As-Is Process Map'!$S$5:$S$46,A46)</f>
        <v>2</v>
      </c>
      <c r="C46" s="4" t="n">
        <f aca="false">COUNTIFS('As-Is Process Map'!$S$5:$S$46,A46,'As-Is Process Map'!$E$5:$E$46,"BKKB Head Office")</f>
        <v>0</v>
      </c>
      <c r="D46" s="6" t="n">
        <f aca="false">SUMIFS('As-Is Process Map'!$M$5:$M$46,'As-Is Process Map'!$S$5:$S$46,A46)</f>
        <v>0</v>
      </c>
      <c r="E46" s="6" t="n">
        <f aca="false">SUMIFS('As-Is Process Map'!$N$5:$N$46,'As-Is Process Map'!$S$5:$S$46,A46)</f>
        <v>0</v>
      </c>
    </row>
    <row r="47" customFormat="false" ht="15" hidden="false" customHeight="false" outlineLevel="0" collapsed="false">
      <c r="A47" s="5" t="s">
        <v>46</v>
      </c>
      <c r="B47" s="4" t="n">
        <f aca="false">COUNTIF('As-Is Process Map'!$S$5:$S$46,A47)</f>
        <v>1</v>
      </c>
      <c r="C47" s="4" t="n">
        <f aca="false">COUNTIFS('As-Is Process Map'!$S$5:$S$46,A47,'As-Is Process Map'!$E$5:$E$46,"BKKB Head Office")</f>
        <v>0</v>
      </c>
      <c r="D47" s="6" t="n">
        <f aca="false">SUMIFS('As-Is Process Map'!$M$5:$M$46,'As-Is Process Map'!$S$5:$S$46,A47)</f>
        <v>0</v>
      </c>
      <c r="E47" s="6" t="n">
        <f aca="false">SUMIFS('As-Is Process Map'!$N$5:$N$46,'As-Is Process Map'!$S$5:$S$46,A47)</f>
        <v>0</v>
      </c>
    </row>
    <row r="48" customFormat="false" ht="15" hidden="false" customHeight="false" outlineLevel="0" collapsed="false">
      <c r="A48" s="5" t="s">
        <v>64</v>
      </c>
      <c r="B48" s="4" t="n">
        <f aca="false">COUNTIF('As-Is Process Map'!$S$5:$S$46,A48)</f>
        <v>4</v>
      </c>
      <c r="C48" s="4" t="n">
        <f aca="false">COUNTIFS('As-Is Process Map'!$S$5:$S$46,A48,'As-Is Process Map'!$E$5:$E$46,"BKKB Head Office")</f>
        <v>2</v>
      </c>
      <c r="D48" s="6" t="n">
        <f aca="false">SUMIFS('As-Is Process Map'!$M$5:$M$46,'As-Is Process Map'!$S$5:$S$46,A48)</f>
        <v>72</v>
      </c>
      <c r="E48" s="6" t="n">
        <f aca="false">SUMIFS('As-Is Process Map'!$N$5:$N$46,'As-Is Process Map'!$S$5:$S$46,A48)</f>
        <v>72</v>
      </c>
    </row>
    <row r="49" customFormat="false" ht="15" hidden="false" customHeight="false" outlineLevel="0" collapsed="false">
      <c r="A49" s="5" t="s">
        <v>77</v>
      </c>
      <c r="B49" s="4" t="n">
        <f aca="false">COUNTIF('As-Is Process Map'!$S$5:$S$46,A49)</f>
        <v>1</v>
      </c>
      <c r="C49" s="4" t="n">
        <f aca="false">COUNTIFS('As-Is Process Map'!$S$5:$S$46,A49,'As-Is Process Map'!$E$5:$E$46,"BKKB Head Office")</f>
        <v>1</v>
      </c>
      <c r="D49" s="6" t="n">
        <f aca="false">SUMIFS('As-Is Process Map'!$M$5:$M$46,'As-Is Process Map'!$S$5:$S$46,A49)</f>
        <v>0</v>
      </c>
      <c r="E49" s="6" t="n">
        <f aca="false">SUMIFS('As-Is Process Map'!$N$5:$N$46,'As-Is Process Map'!$S$5:$S$46,A49)</f>
        <v>0</v>
      </c>
    </row>
    <row r="50" customFormat="false" ht="15" hidden="false" customHeight="false" outlineLevel="0" collapsed="false">
      <c r="A50" s="5" t="s">
        <v>87</v>
      </c>
      <c r="B50" s="4" t="n">
        <f aca="false">COUNTIF('As-Is Process Map'!$S$5:$S$46,A50)</f>
        <v>7</v>
      </c>
      <c r="C50" s="4" t="n">
        <f aca="false">COUNTIFS('As-Is Process Map'!$S$5:$S$46,A50,'As-Is Process Map'!$E$5:$E$46,"BKKB Head Office")</f>
        <v>7</v>
      </c>
      <c r="D50" s="6" t="n">
        <f aca="false">SUMIFS('As-Is Process Map'!$M$5:$M$46,'As-Is Process Map'!$S$5:$S$46,A50)</f>
        <v>14</v>
      </c>
      <c r="E50" s="6" t="n">
        <f aca="false">SUMIFS('As-Is Process Map'!$N$5:$N$46,'As-Is Process Map'!$S$5:$S$46,A50)</f>
        <v>20</v>
      </c>
    </row>
    <row r="51" customFormat="false" ht="15" hidden="false" customHeight="false" outlineLevel="0" collapsed="false">
      <c r="A51" s="5" t="s">
        <v>97</v>
      </c>
      <c r="B51" s="4" t="n">
        <f aca="false">COUNTIF('As-Is Process Map'!$S$5:$S$46,A51)</f>
        <v>5</v>
      </c>
      <c r="C51" s="4" t="n">
        <f aca="false">COUNTIFS('As-Is Process Map'!$S$5:$S$46,A51,'As-Is Process Map'!$E$5:$E$46,"BKKB Head Office")</f>
        <v>4</v>
      </c>
      <c r="D51" s="6" t="n">
        <f aca="false">SUMIFS('As-Is Process Map'!$M$5:$M$46,'As-Is Process Map'!$S$5:$S$46,A51)</f>
        <v>13</v>
      </c>
      <c r="E51" s="6" t="n">
        <f aca="false">SUMIFS('As-Is Process Map'!$N$5:$N$46,'As-Is Process Map'!$S$5:$S$46,A51)</f>
        <v>15</v>
      </c>
    </row>
    <row r="52" customFormat="false" ht="15" hidden="false" customHeight="false" outlineLevel="0" collapsed="false">
      <c r="A52" s="5" t="s">
        <v>131</v>
      </c>
      <c r="B52" s="4" t="n">
        <f aca="false">COUNTIF('As-Is Process Map'!$S$5:$S$46,A52)</f>
        <v>1</v>
      </c>
      <c r="C52" s="4" t="n">
        <f aca="false">COUNTIFS('As-Is Process Map'!$S$5:$S$46,A52,'As-Is Process Map'!$E$5:$E$46,"BKKB Head Office")</f>
        <v>1</v>
      </c>
      <c r="D52" s="6" t="n">
        <f aca="false">SUMIFS('As-Is Process Map'!$M$5:$M$46,'As-Is Process Map'!$S$5:$S$46,A52)</f>
        <v>8</v>
      </c>
      <c r="E52" s="6" t="n">
        <f aca="false">SUMIFS('As-Is Process Map'!$N$5:$N$46,'As-Is Process Map'!$S$5:$S$46,A52)</f>
        <v>8</v>
      </c>
    </row>
    <row r="53" customFormat="false" ht="15" hidden="false" customHeight="false" outlineLevel="0" collapsed="false">
      <c r="A53" s="5" t="s">
        <v>138</v>
      </c>
      <c r="B53" s="4" t="n">
        <f aca="false">COUNTIF('As-Is Process Map'!$S$5:$S$46,A53)</f>
        <v>1</v>
      </c>
      <c r="C53" s="4" t="n">
        <f aca="false">COUNTIFS('As-Is Process Map'!$S$5:$S$46,A53,'As-Is Process Map'!$E$5:$E$46,"BKKB Head Office")</f>
        <v>1</v>
      </c>
      <c r="D53" s="6" t="n">
        <f aca="false">SUMIFS('As-Is Process Map'!$M$5:$M$46,'As-Is Process Map'!$S$5:$S$46,A53)</f>
        <v>0</v>
      </c>
      <c r="E53" s="6" t="n">
        <f aca="false">SUMIFS('As-Is Process Map'!$N$5:$N$46,'As-Is Process Map'!$S$5:$S$46,A53)</f>
        <v>0</v>
      </c>
    </row>
    <row r="54" customFormat="false" ht="15" hidden="false" customHeight="false" outlineLevel="0" collapsed="false">
      <c r="A54" s="5" t="s">
        <v>148</v>
      </c>
      <c r="B54" s="4" t="n">
        <f aca="false">COUNTIF('As-Is Process Map'!$S$5:$S$46,A54)</f>
        <v>1</v>
      </c>
      <c r="C54" s="4" t="n">
        <f aca="false">COUNTIFS('As-Is Process Map'!$S$5:$S$46,A54,'As-Is Process Map'!$E$5:$E$46,"BKKB Head Office")</f>
        <v>1</v>
      </c>
      <c r="D54" s="6" t="n">
        <f aca="false">SUMIFS('As-Is Process Map'!$M$5:$M$46,'As-Is Process Map'!$S$5:$S$46,A54)</f>
        <v>0</v>
      </c>
      <c r="E54" s="6" t="n">
        <f aca="false">SUMIFS('As-Is Process Map'!$N$5:$N$46,'As-Is Process Map'!$S$5:$S$46,A54)</f>
        <v>0</v>
      </c>
    </row>
    <row r="55" customFormat="false" ht="15" hidden="false" customHeight="false" outlineLevel="0" collapsed="false">
      <c r="A55" s="5" t="s">
        <v>156</v>
      </c>
      <c r="B55" s="4" t="n">
        <f aca="false">COUNTIF('As-Is Process Map'!$S$5:$S$46,A55)</f>
        <v>1</v>
      </c>
      <c r="C55" s="4" t="n">
        <f aca="false">COUNTIFS('As-Is Process Map'!$S$5:$S$46,A55,'As-Is Process Map'!$E$5:$E$46,"BKKB Head Office")</f>
        <v>0</v>
      </c>
      <c r="D55" s="6" t="n">
        <f aca="false">SUMIFS('As-Is Process Map'!$M$5:$M$46,'As-Is Process Map'!$S$5:$S$46,A55)</f>
        <v>0</v>
      </c>
      <c r="E55" s="6" t="n">
        <f aca="false">SUMIFS('As-Is Process Map'!$N$5:$N$46,'As-Is Process Map'!$S$5:$S$46,A55)</f>
        <v>0</v>
      </c>
    </row>
    <row r="56" customFormat="false" ht="15" hidden="false" customHeight="false" outlineLevel="0" collapsed="false">
      <c r="A56" s="5" t="s">
        <v>164</v>
      </c>
      <c r="B56" s="4" t="n">
        <f aca="false">COUNTIF('As-Is Process Map'!$S$5:$S$46,A56)</f>
        <v>1</v>
      </c>
      <c r="C56" s="4" t="n">
        <f aca="false">COUNTIFS('As-Is Process Map'!$S$5:$S$46,A56,'As-Is Process Map'!$E$5:$E$46,"BKKB Head Office")</f>
        <v>0</v>
      </c>
      <c r="D56" s="6" t="n">
        <f aca="false">SUMIFS('As-Is Process Map'!$M$5:$M$46,'As-Is Process Map'!$S$5:$S$46,A56)</f>
        <v>0</v>
      </c>
      <c r="E56" s="6" t="n">
        <f aca="false">SUMIFS('As-Is Process Map'!$N$5:$N$46,'As-Is Process Map'!$S$5:$S$46,A56)</f>
        <v>0</v>
      </c>
    </row>
    <row r="57" customFormat="false" ht="15" hidden="false" customHeight="false" outlineLevel="0" collapsed="false">
      <c r="A57" s="5" t="s">
        <v>174</v>
      </c>
      <c r="B57" s="4" t="n">
        <f aca="false">COUNTIF('As-Is Process Map'!$S$5:$S$46,A57)</f>
        <v>5</v>
      </c>
      <c r="C57" s="4" t="n">
        <f aca="false">COUNTIFS('As-Is Process Map'!$S$5:$S$46,A57,'As-Is Process Map'!$E$5:$E$46,"BKKB Head Office")</f>
        <v>5</v>
      </c>
      <c r="D57" s="6" t="n">
        <f aca="false">SUMIFS('As-Is Process Map'!$M$5:$M$46,'As-Is Process Map'!$S$5:$S$46,A57)</f>
        <v>8</v>
      </c>
      <c r="E57" s="6" t="n">
        <f aca="false">SUMIFS('As-Is Process Map'!$N$5:$N$46,'As-Is Process Map'!$S$5:$S$46,A57)</f>
        <v>12</v>
      </c>
    </row>
    <row r="58" customFormat="false" ht="15" hidden="false" customHeight="false" outlineLevel="0" collapsed="false">
      <c r="A58" s="5" t="s">
        <v>224</v>
      </c>
      <c r="B58" s="4" t="n">
        <f aca="false">COUNTIF('As-Is Process Map'!$S$5:$S$46,A58)</f>
        <v>4</v>
      </c>
      <c r="C58" s="4" t="n">
        <f aca="false">COUNTIFS('As-Is Process Map'!$S$5:$S$46,A58,'As-Is Process Map'!$E$5:$E$46,"BKKB Head Office")</f>
        <v>4</v>
      </c>
      <c r="D58" s="6" t="n">
        <f aca="false">SUMIFS('As-Is Process Map'!$M$5:$M$46,'As-Is Process Map'!$S$5:$S$46,A58)</f>
        <v>27</v>
      </c>
      <c r="E58" s="6" t="n">
        <f aca="false">SUMIFS('As-Is Process Map'!$N$5:$N$46,'As-Is Process Map'!$S$5:$S$46,A58)</f>
        <v>28</v>
      </c>
    </row>
    <row r="59" customFormat="false" ht="15" hidden="false" customHeight="false" outlineLevel="0" collapsed="false">
      <c r="A59" s="5" t="s">
        <v>240</v>
      </c>
      <c r="B59" s="4" t="n">
        <f aca="false">COUNTIF('As-Is Process Map'!$S$5:$S$46,A59)</f>
        <v>5</v>
      </c>
      <c r="C59" s="4" t="n">
        <f aca="false">COUNTIFS('As-Is Process Map'!$S$5:$S$46,A59,'As-Is Process Map'!$E$5:$E$46,"BKKB Head Office")</f>
        <v>5</v>
      </c>
      <c r="D59" s="6" t="n">
        <f aca="false">SUMIFS('As-Is Process Map'!$M$5:$M$46,'As-Is Process Map'!$S$5:$S$46,A59)</f>
        <v>12</v>
      </c>
      <c r="E59" s="6" t="n">
        <f aca="false">SUMIFS('As-Is Process Map'!$N$5:$N$46,'As-Is Process Map'!$S$5:$S$46,A59)</f>
        <v>16</v>
      </c>
    </row>
    <row r="60" customFormat="false" ht="15" hidden="false" customHeight="false" outlineLevel="0" collapsed="false">
      <c r="A60" s="5" t="s">
        <v>278</v>
      </c>
      <c r="B60" s="4" t="n">
        <f aca="false">COUNTIF('As-Is Process Map'!$S$5:$S$46,A60)</f>
        <v>1</v>
      </c>
      <c r="C60" s="4" t="n">
        <f aca="false">COUNTIFS('As-Is Process Map'!$S$5:$S$46,A60,'As-Is Process Map'!$E$5:$E$46,"BKKB Head Office")</f>
        <v>0</v>
      </c>
      <c r="D60" s="6" t="n">
        <f aca="false">SUMIFS('As-Is Process Map'!$M$5:$M$46,'As-Is Process Map'!$S$5:$S$46,A60)</f>
        <v>0</v>
      </c>
      <c r="E60" s="6" t="n">
        <f aca="false">SUMIFS('As-Is Process Map'!$N$5:$N$46,'As-Is Process Map'!$S$5:$S$46,A60)</f>
        <v>0</v>
      </c>
    </row>
    <row r="61" customFormat="false" ht="15" hidden="false" customHeight="false" outlineLevel="0" collapsed="false">
      <c r="A61" s="5" t="s">
        <v>349</v>
      </c>
      <c r="B61" s="4" t="n">
        <f aca="false">COUNTIF('As-Is Process Map'!$S$5:$S$46,A61)</f>
        <v>1</v>
      </c>
      <c r="C61" s="4" t="n">
        <f aca="false">COUNTIFS('As-Is Process Map'!$S$5:$S$46,A61,'As-Is Process Map'!$E$5:$E$46,"BKKB Head Office")</f>
        <v>0</v>
      </c>
      <c r="D61" s="6" t="n">
        <f aca="false">SUMIFS('As-Is Process Map'!$M$5:$M$46,'As-Is Process Map'!$S$5:$S$46,A61)</f>
        <v>0</v>
      </c>
      <c r="E61" s="6" t="n">
        <f aca="false">SUMIFS('As-Is Process Map'!$N$5:$N$46,'As-Is Process Map'!$S$5:$S$46,A61)</f>
        <v>0</v>
      </c>
    </row>
    <row r="62" customFormat="false" ht="15" hidden="false" customHeight="false" outlineLevel="0" collapsed="false">
      <c r="A62" s="5" t="s">
        <v>358</v>
      </c>
      <c r="B62" s="4" t="n">
        <f aca="false">COUNTIF('As-Is Process Map'!$S$5:$S$46,A62)</f>
        <v>1</v>
      </c>
      <c r="C62" s="4" t="n">
        <f aca="false">COUNTIFS('As-Is Process Map'!$S$5:$S$46,A62,'As-Is Process Map'!$E$5:$E$46,"BKKB Head Office")</f>
        <v>0</v>
      </c>
      <c r="D62" s="6" t="n">
        <f aca="false">SUMIFS('As-Is Process Map'!$M$5:$M$46,'As-Is Process Map'!$S$5:$S$46,A62)</f>
        <v>0</v>
      </c>
      <c r="E62" s="6" t="n">
        <f aca="false">SUMIFS('As-Is Process Map'!$N$5:$N$46,'As-Is Process Map'!$S$5:$S$46,A62)</f>
        <v>0</v>
      </c>
    </row>
    <row r="63" customFormat="false" ht="15" hidden="false" customHeight="false" outlineLevel="0" collapsed="false">
      <c r="A63" s="26" t="s">
        <v>377</v>
      </c>
      <c r="B63" s="27" t="n">
        <f aca="false">SUM(B46:B62)</f>
        <v>42</v>
      </c>
      <c r="C63" s="27" t="n">
        <f aca="false">SUM(C46:C62)</f>
        <v>31</v>
      </c>
      <c r="D63" s="27"/>
      <c r="E63" s="27"/>
    </row>
    <row r="65" customFormat="false" ht="15" hidden="false" customHeight="false" outlineLevel="0" collapsed="false">
      <c r="A65" s="21" t="s">
        <v>378</v>
      </c>
    </row>
    <row r="66" customFormat="false" ht="15" hidden="false" customHeight="false" outlineLevel="0" collapsed="false">
      <c r="A66" s="3" t="s">
        <v>379</v>
      </c>
      <c r="B66" s="3" t="s">
        <v>380</v>
      </c>
      <c r="C66" s="3" t="s">
        <v>381</v>
      </c>
    </row>
    <row r="67" customFormat="false" ht="43.25" hidden="false" customHeight="false" outlineLevel="0" collapsed="false">
      <c r="A67" s="5" t="s">
        <v>382</v>
      </c>
      <c r="B67" s="7" t="n">
        <f aca="false">F20</f>
        <v>19.25</v>
      </c>
      <c r="C67" s="4" t="s">
        <v>383</v>
      </c>
    </row>
    <row r="68" customFormat="false" ht="43.25" hidden="false" customHeight="false" outlineLevel="0" collapsed="false">
      <c r="A68" s="5" t="s">
        <v>384</v>
      </c>
      <c r="B68" s="7" t="n">
        <f aca="false">G20</f>
        <v>21.375</v>
      </c>
      <c r="C68" s="4" t="s">
        <v>385</v>
      </c>
    </row>
    <row r="69" customFormat="false" ht="53.7" hidden="false" customHeight="false" outlineLevel="0" collapsed="false">
      <c r="A69" s="5" t="s">
        <v>386</v>
      </c>
      <c r="B69" s="4" t="n">
        <f aca="false">SUMIFS('As-Is Process Map'!$Q$5:$Q$46,'As-Is Process Map'!$D$5:$D$46,"P0. Application and attestation")+SUMIFS('As-Is Process Map'!$Q$5:$Q$46,'As-Is Process Map'!$D$5:$D$46,"F. Card despatch to beneficiary")</f>
        <v>2</v>
      </c>
      <c r="C69" s="4" t="s">
        <v>387</v>
      </c>
    </row>
    <row r="70" customFormat="false" ht="22.35" hidden="false" customHeight="false" outlineLevel="0" collapsed="false">
      <c r="A70" s="5" t="s">
        <v>388</v>
      </c>
      <c r="B70" s="4" t="n">
        <f aca="false">SUMIFS('As-Is Process Map'!$Q$5:$Q$46,'As-Is Process Map'!$D$5:$D$46,"R. Defect return and rework (exception)")</f>
        <v>1</v>
      </c>
      <c r="C70" s="4" t="s">
        <v>389</v>
      </c>
    </row>
    <row r="71" customFormat="false" ht="22.35" hidden="false" customHeight="false" outlineLevel="0" collapsed="false">
      <c r="A71" s="5" t="s">
        <v>390</v>
      </c>
      <c r="B71" s="4" t="n">
        <f aca="false">SUMIFS('As-Is Process Map'!$Q$5:$Q$46,'As-Is Process Map'!$D$5:$D$46,"I. Monthly disbursement (recurring)")</f>
        <v>1</v>
      </c>
      <c r="C71" s="4" t="s">
        <v>391</v>
      </c>
    </row>
    <row r="72" customFormat="false" ht="15" hidden="false" customHeight="false" outlineLevel="0" collapsed="false">
      <c r="A72" s="5" t="s">
        <v>392</v>
      </c>
      <c r="B72" s="4" t="n">
        <f aca="false">B71*12*15</f>
        <v>180</v>
      </c>
      <c r="C72" s="4" t="s">
        <v>393</v>
      </c>
    </row>
    <row r="73" customFormat="false" ht="53.7" hidden="false" customHeight="false" outlineLevel="0" collapsed="false">
      <c r="A73" s="5" t="s">
        <v>19</v>
      </c>
      <c r="B73" s="4" t="s">
        <v>33</v>
      </c>
      <c r="C73" s="4" t="s">
        <v>394</v>
      </c>
    </row>
    <row r="74" customFormat="false" ht="22.35" hidden="false" customHeight="false" outlineLevel="0" collapsed="false">
      <c r="A74" s="5" t="s">
        <v>395</v>
      </c>
      <c r="B74" s="4" t="s">
        <v>396</v>
      </c>
      <c r="C74" s="4" t="s">
        <v>397</v>
      </c>
    </row>
    <row r="75" customFormat="false" ht="53.7" hidden="false" customHeight="false" outlineLevel="0" collapsed="false">
      <c r="A75" s="5" t="s">
        <v>398</v>
      </c>
      <c r="B75" s="4" t="s">
        <v>399</v>
      </c>
      <c r="C75" s="4" t="s">
        <v>400</v>
      </c>
    </row>
    <row r="77" customFormat="false" ht="15" hidden="false" customHeight="false" outlineLevel="0" collapsed="false">
      <c r="A77" s="21" t="s">
        <v>401</v>
      </c>
    </row>
    <row r="78" customFormat="false" ht="15" hidden="false" customHeight="false" outlineLevel="0" collapsed="false">
      <c r="A78" s="3" t="s">
        <v>402</v>
      </c>
      <c r="B78" s="3" t="s">
        <v>403</v>
      </c>
      <c r="C78" s="3" t="s">
        <v>21</v>
      </c>
    </row>
    <row r="79" customFormat="false" ht="15" hidden="false" customHeight="false" outlineLevel="0" collapsed="false">
      <c r="A79" s="5" t="s">
        <v>404</v>
      </c>
      <c r="B79" s="4" t="n">
        <f aca="false">COUNTIF('As-Is Process Map'!$E$5:$E$46,"BKKB Head Office")</f>
        <v>31</v>
      </c>
      <c r="C79" s="4" t="s">
        <v>405</v>
      </c>
    </row>
    <row r="80" customFormat="false" ht="22.35" hidden="false" customHeight="false" outlineLevel="0" collapsed="false">
      <c r="A80" s="5" t="s">
        <v>406</v>
      </c>
      <c r="B80" s="20" t="n">
        <v>25</v>
      </c>
      <c r="C80" s="4" t="s">
        <v>407</v>
      </c>
    </row>
    <row r="81" customFormat="false" ht="22.35" hidden="false" customHeight="false" outlineLevel="0" collapsed="false">
      <c r="A81" s="5" t="s">
        <v>408</v>
      </c>
      <c r="B81" s="4" t="n">
        <f aca="false">COUNTIFS('As-Is Process Map'!$S$5:$S$46,"Approval")+COUNTIFS('As-Is Process Map'!$S$5:$S$46,"Signature")</f>
        <v>10</v>
      </c>
      <c r="C81" s="4" t="s">
        <v>405</v>
      </c>
    </row>
    <row r="82" customFormat="false" ht="15" hidden="false" customHeight="false" outlineLevel="0" collapsed="false">
      <c r="A82" s="5" t="s">
        <v>409</v>
      </c>
      <c r="B82" s="4" t="n">
        <f aca="false">COUNTIFS('As-Is Process Map'!$S$5:$S$46,"Marking / routing")</f>
        <v>7</v>
      </c>
      <c r="C82" s="4" t="s">
        <v>405</v>
      </c>
    </row>
    <row r="83" customFormat="false" ht="15" hidden="false" customHeight="false" outlineLevel="0" collapsed="false">
      <c r="A83" s="5" t="s">
        <v>410</v>
      </c>
      <c r="B83" s="20" t="n">
        <v>4</v>
      </c>
      <c r="C83" s="4" t="s">
        <v>411</v>
      </c>
    </row>
    <row r="84" customFormat="false" ht="22.35" hidden="false" customHeight="false" outlineLevel="0" collapsed="false">
      <c r="A84" s="5" t="s">
        <v>412</v>
      </c>
      <c r="B84" s="4" t="s">
        <v>396</v>
      </c>
      <c r="C84" s="4" t="s">
        <v>413</v>
      </c>
    </row>
    <row r="85" customFormat="false" ht="22.35" hidden="false" customHeight="false" outlineLevel="0" collapsed="false">
      <c r="A85" s="5" t="s">
        <v>414</v>
      </c>
      <c r="B85" s="4" t="n">
        <f aca="false">12*15</f>
        <v>180</v>
      </c>
      <c r="C85" s="4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" t="s">
        <v>416</v>
      </c>
    </row>
    <row r="3" customFormat="false" ht="15" hidden="false" customHeight="false" outlineLevel="0" collapsed="false">
      <c r="A3" s="3" t="s">
        <v>417</v>
      </c>
      <c r="B3" s="3" t="s">
        <v>418</v>
      </c>
      <c r="C3" s="3" t="s">
        <v>419</v>
      </c>
      <c r="D3" s="3" t="s">
        <v>420</v>
      </c>
      <c r="E3" s="3" t="s">
        <v>421</v>
      </c>
      <c r="F3" s="3" t="s">
        <v>422</v>
      </c>
    </row>
    <row r="4" customFormat="false" ht="22.35" hidden="false" customHeight="false" outlineLevel="0" collapsed="false">
      <c r="A4" s="4" t="s">
        <v>423</v>
      </c>
      <c r="B4" s="4" t="s">
        <v>89</v>
      </c>
      <c r="C4" s="5" t="s">
        <v>424</v>
      </c>
      <c r="D4" s="5" t="s">
        <v>425</v>
      </c>
      <c r="E4" s="5" t="s">
        <v>426</v>
      </c>
      <c r="F4" s="5" t="s">
        <v>427</v>
      </c>
    </row>
    <row r="5" customFormat="false" ht="22.35" hidden="false" customHeight="false" outlineLevel="0" collapsed="false">
      <c r="A5" s="4" t="s">
        <v>428</v>
      </c>
      <c r="B5" s="4" t="s">
        <v>429</v>
      </c>
      <c r="C5" s="5" t="s">
        <v>424</v>
      </c>
      <c r="D5" s="5" t="s">
        <v>430</v>
      </c>
      <c r="E5" s="5" t="s">
        <v>431</v>
      </c>
      <c r="F5" s="5" t="s">
        <v>427</v>
      </c>
    </row>
    <row r="6" customFormat="false" ht="22.35" hidden="false" customHeight="false" outlineLevel="0" collapsed="false">
      <c r="A6" s="4" t="s">
        <v>432</v>
      </c>
      <c r="B6" s="4" t="s">
        <v>433</v>
      </c>
      <c r="C6" s="5" t="s">
        <v>434</v>
      </c>
      <c r="D6" s="5" t="s">
        <v>435</v>
      </c>
      <c r="E6" s="5" t="s">
        <v>436</v>
      </c>
      <c r="F6" s="5" t="s">
        <v>437</v>
      </c>
    </row>
    <row r="7" customFormat="false" ht="22.35" hidden="false" customHeight="false" outlineLevel="0" collapsed="false">
      <c r="A7" s="4" t="s">
        <v>438</v>
      </c>
      <c r="B7" s="4" t="s">
        <v>133</v>
      </c>
      <c r="C7" s="5" t="s">
        <v>434</v>
      </c>
      <c r="D7" s="5" t="s">
        <v>439</v>
      </c>
      <c r="E7" s="5" t="s">
        <v>440</v>
      </c>
      <c r="F7" s="5" t="s">
        <v>437</v>
      </c>
    </row>
    <row r="8" customFormat="false" ht="22.35" hidden="false" customHeight="false" outlineLevel="0" collapsed="false">
      <c r="A8" s="4" t="s">
        <v>441</v>
      </c>
      <c r="B8" s="4" t="s">
        <v>442</v>
      </c>
      <c r="C8" s="5" t="s">
        <v>443</v>
      </c>
      <c r="D8" s="5" t="s">
        <v>444</v>
      </c>
      <c r="E8" s="5" t="s">
        <v>445</v>
      </c>
      <c r="F8" s="5" t="s">
        <v>437</v>
      </c>
    </row>
    <row r="9" customFormat="false" ht="22.35" hidden="false" customHeight="false" outlineLevel="0" collapsed="false">
      <c r="A9" s="4" t="s">
        <v>446</v>
      </c>
      <c r="B9" s="4" t="s">
        <v>447</v>
      </c>
      <c r="C9" s="5" t="s">
        <v>448</v>
      </c>
      <c r="D9" s="5" t="s">
        <v>449</v>
      </c>
      <c r="E9" s="5" t="s">
        <v>450</v>
      </c>
      <c r="F9" s="5" t="s">
        <v>451</v>
      </c>
    </row>
    <row r="10" customFormat="false" ht="22.35" hidden="false" customHeight="false" outlineLevel="0" collapsed="false">
      <c r="A10" s="4" t="s">
        <v>452</v>
      </c>
      <c r="B10" s="4" t="s">
        <v>453</v>
      </c>
      <c r="C10" s="5" t="s">
        <v>424</v>
      </c>
      <c r="D10" s="5" t="s">
        <v>454</v>
      </c>
      <c r="E10" s="5" t="s">
        <v>455</v>
      </c>
      <c r="F10" s="5" t="s">
        <v>456</v>
      </c>
    </row>
    <row r="11" customFormat="false" ht="22.35" hidden="false" customHeight="false" outlineLevel="0" collapsed="false">
      <c r="A11" s="4" t="s">
        <v>457</v>
      </c>
      <c r="B11" s="4" t="s">
        <v>458</v>
      </c>
      <c r="C11" s="5" t="s">
        <v>434</v>
      </c>
      <c r="D11" s="5" t="s">
        <v>459</v>
      </c>
      <c r="E11" s="5" t="s">
        <v>460</v>
      </c>
      <c r="F11" s="5" t="s">
        <v>461</v>
      </c>
    </row>
    <row r="12" customFormat="false" ht="22.35" hidden="false" customHeight="false" outlineLevel="0" collapsed="false">
      <c r="A12" s="4" t="s">
        <v>462</v>
      </c>
      <c r="B12" s="4" t="s">
        <v>463</v>
      </c>
      <c r="C12" s="5" t="s">
        <v>464</v>
      </c>
      <c r="D12" s="5" t="s">
        <v>465</v>
      </c>
      <c r="E12" s="5" t="s">
        <v>466</v>
      </c>
      <c r="F12" s="5" t="s">
        <v>467</v>
      </c>
    </row>
    <row r="13" customFormat="false" ht="15" hidden="false" customHeight="false" outlineLevel="0" collapsed="false">
      <c r="A13" s="4" t="s">
        <v>468</v>
      </c>
      <c r="B13" s="4" t="s">
        <v>469</v>
      </c>
      <c r="C13" s="5" t="s">
        <v>464</v>
      </c>
      <c r="D13" s="5" t="s">
        <v>470</v>
      </c>
      <c r="E13" s="5" t="s">
        <v>471</v>
      </c>
      <c r="F13" s="5" t="s">
        <v>472</v>
      </c>
    </row>
    <row r="14" customFormat="false" ht="22.35" hidden="false" customHeight="false" outlineLevel="0" collapsed="false">
      <c r="A14" s="4" t="s">
        <v>473</v>
      </c>
      <c r="B14" s="4" t="s">
        <v>474</v>
      </c>
      <c r="C14" s="5" t="s">
        <v>464</v>
      </c>
      <c r="D14" s="5" t="s">
        <v>475</v>
      </c>
      <c r="E14" s="5" t="s">
        <v>476</v>
      </c>
      <c r="F14" s="5" t="s">
        <v>477</v>
      </c>
    </row>
    <row r="15" customFormat="false" ht="15" hidden="false" customHeight="false" outlineLevel="0" collapsed="false">
      <c r="A15" s="4" t="s">
        <v>478</v>
      </c>
      <c r="B15" s="4" t="s">
        <v>479</v>
      </c>
      <c r="C15" s="5" t="s">
        <v>480</v>
      </c>
      <c r="D15" s="5" t="s">
        <v>481</v>
      </c>
      <c r="E15" s="5" t="s">
        <v>482</v>
      </c>
      <c r="F15" s="5" t="s">
        <v>456</v>
      </c>
    </row>
  </sheetData>
  <autoFilter ref="A3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483</v>
      </c>
    </row>
    <row r="3" customFormat="false" ht="22.35" hidden="false" customHeight="false" outlineLevel="0" collapsed="false">
      <c r="A3" s="32" t="s">
        <v>484</v>
      </c>
      <c r="B3" s="33" t="n">
        <v>8</v>
      </c>
      <c r="C3" s="5" t="s">
        <v>485</v>
      </c>
    </row>
    <row r="4" customFormat="false" ht="15" hidden="false" customHeight="false" outlineLevel="0" collapsed="false">
      <c r="A4" s="30" t="s">
        <v>486</v>
      </c>
    </row>
    <row r="5" customFormat="false" ht="15" hidden="false" customHeight="false" outlineLevel="0" collapsed="false">
      <c r="A5" s="21" t="s">
        <v>487</v>
      </c>
    </row>
    <row r="6" customFormat="false" ht="15" hidden="false" customHeight="false" outlineLevel="0" collapsed="false">
      <c r="A6" s="34" t="s">
        <v>488</v>
      </c>
      <c r="C6" s="35" t="s">
        <v>489</v>
      </c>
    </row>
    <row r="7" customFormat="false" ht="15" hidden="false" customHeight="false" outlineLevel="0" collapsed="false">
      <c r="A7" s="36" t="s">
        <v>490</v>
      </c>
      <c r="C7" s="35" t="s">
        <v>491</v>
      </c>
    </row>
    <row r="8" customFormat="false" ht="15" hidden="false" customHeight="false" outlineLevel="0" collapsed="false">
      <c r="A8" s="37" t="s">
        <v>492</v>
      </c>
      <c r="C8" s="35" t="s">
        <v>493</v>
      </c>
    </row>
    <row r="9" customFormat="false" ht="22.35" hidden="false" customHeight="false" outlineLevel="0" collapsed="false">
      <c r="A9" s="38" t="s">
        <v>494</v>
      </c>
      <c r="C9" s="35" t="s">
        <v>495</v>
      </c>
    </row>
    <row r="10" customFormat="false" ht="15" hidden="false" customHeight="false" outlineLevel="0" collapsed="false">
      <c r="A10" s="39" t="s">
        <v>496</v>
      </c>
      <c r="C10" s="35" t="s">
        <v>497</v>
      </c>
    </row>
    <row r="11" customFormat="false" ht="15" hidden="false" customHeight="false" outlineLevel="0" collapsed="false">
      <c r="A11" s="40" t="s">
        <v>498</v>
      </c>
      <c r="C11" s="35" t="s">
        <v>499</v>
      </c>
    </row>
    <row r="12" customFormat="false" ht="15" hidden="false" customHeight="false" outlineLevel="0" collapsed="false">
      <c r="A12" s="36" t="s">
        <v>500</v>
      </c>
      <c r="C12" s="35" t="s">
        <v>501</v>
      </c>
    </row>
    <row r="13" customFormat="false" ht="15" hidden="false" customHeight="false" outlineLevel="0" collapsed="false">
      <c r="A13" s="36" t="s">
        <v>502</v>
      </c>
      <c r="C13" s="35" t="s">
        <v>503</v>
      </c>
    </row>
    <row r="14" customFormat="false" ht="15" hidden="false" customHeight="false" outlineLevel="0" collapsed="false">
      <c r="A14" s="36" t="s">
        <v>504</v>
      </c>
      <c r="C14" s="35" t="s">
        <v>505</v>
      </c>
    </row>
    <row r="15" customFormat="false" ht="22.35" hidden="false" customHeight="false" outlineLevel="0" collapsed="false">
      <c r="A15" s="36" t="s">
        <v>35</v>
      </c>
      <c r="C15" s="35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2026-10-04T13:10:10Z</dcterms:created>
  <dc:creator>openpyxl</dc:creator>
  <dc:description/>
  <dc:language>en-US</dc:language>
  <cp:lastModifiedBy/>
  <dcterms:modified xsi:type="dcterms:W3CDTF">2026-10-04T13:10:10Z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